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CIÓN" sheetId="1" state="visible" r:id="rId1"/>
    <sheet name="INSTRUCCIONES" sheetId="2" state="visible" r:id="rId2"/>
    <sheet name="EERR" sheetId="3" state="visible" r:id="rId3"/>
    <sheet name="ESF" sheetId="4" state="visible" r:id="rId4"/>
    <sheet name="INDICADORES" sheetId="5" state="visible" r:id="rId5"/>
    <sheet name="PUNTO EQUILIBRIO" sheetId="6" state="visible" r:id="rId6"/>
    <sheet name="PROYECCIONES" sheetId="7" state="visible" r:id="rId7"/>
    <sheet name="VALORACIÓN" sheetId="8" state="visible" r:id="rId8"/>
    <sheet name="BENCHMARKS" sheetId="9" state="visible" r:id="rId9"/>
    <sheet name="DIAGNÓSTICO" sheetId="10" state="visible" r:id="rId10"/>
    <sheet name="INFORME VISUA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0.0000"/>
  </numFmts>
  <fonts count="1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sz val="10"/>
    </font>
    <font>
      <b val="1"/>
    </font>
    <font>
      <b val="1"/>
      <sz val="12"/>
    </font>
    <font>
      <b val="1"/>
      <color rgb="00FFFFFF"/>
    </font>
    <font>
      <b val="1"/>
      <color rgb="000000FF"/>
    </font>
    <font>
      <b val="1"/>
      <i val="1"/>
    </font>
    <font>
      <b val="1"/>
      <color rgb="00FFFFFF"/>
      <sz val="12"/>
    </font>
    <font>
      <b val="1"/>
      <u val="single"/>
    </font>
    <font>
      <b val="1"/>
      <color rgb="00FF0000"/>
    </font>
    <font>
      <i val="1"/>
      <sz val="9"/>
    </font>
    <font>
      <b val="1"/>
      <sz val="11"/>
    </font>
    <font>
      <b val="1"/>
      <sz val="14"/>
    </font>
    <font>
      <color rgb="00808080"/>
    </font>
    <font>
      <b val="1"/>
      <color rgb="00000000"/>
    </font>
    <font>
      <color rgb="00008000"/>
    </font>
    <font>
      <b val="1"/>
      <color rgb="00000000"/>
      <sz val="12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  <fill>
      <patternFill patternType="solid">
        <fgColor rgb="0044546A"/>
        <bgColor rgb="0044546A"/>
      </patternFill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0" pivotButton="0" quotePrefix="0" xfId="0"/>
    <xf numFmtId="0" fontId="4" fillId="0" borderId="0" pivotButton="0" quotePrefix="0" xfId="0"/>
    <xf numFmtId="0" fontId="7" fillId="3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2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4" borderId="0" pivotButton="0" quotePrefix="0" xfId="0"/>
    <xf numFmtId="0" fontId="12" fillId="0" borderId="0" pivotButton="0" quotePrefix="0" xfId="0"/>
    <xf numFmtId="0" fontId="4" fillId="5" borderId="0" pivotButton="0" quotePrefix="0" xfId="0"/>
    <xf numFmtId="0" fontId="7" fillId="6" borderId="0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3" fillId="5" borderId="0" pivotButton="0" quotePrefix="0" xfId="0"/>
    <xf numFmtId="3" fontId="7" fillId="3" borderId="0" pivotButton="0" quotePrefix="0" xfId="0"/>
    <xf numFmtId="164" fontId="0" fillId="0" borderId="0" pivotButton="0" quotePrefix="0" xfId="0"/>
    <xf numFmtId="3" fontId="0" fillId="0" borderId="0" pivotButton="0" quotePrefix="0" xfId="0"/>
    <xf numFmtId="3" fontId="16" fillId="0" borderId="0" pivotButton="0" quotePrefix="0" xfId="0"/>
    <xf numFmtId="3" fontId="17" fillId="0" borderId="0" pivotButton="0" quotePrefix="0" xfId="0"/>
    <xf numFmtId="0" fontId="16" fillId="0" borderId="0" pivotButton="0" quotePrefix="0" xfId="0"/>
    <xf numFmtId="0" fontId="18" fillId="0" borderId="0" pivotButton="0" quotePrefix="0" xfId="0"/>
    <xf numFmtId="0" fontId="16" fillId="3" borderId="0" pivotButton="0" quotePrefix="0" xfId="0"/>
    <xf numFmtId="0" fontId="11" fillId="7" borderId="0" pivotButton="0" quotePrefix="0" xfId="0"/>
    <xf numFmtId="2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164" fontId="7" fillId="3" borderId="0" pivotButton="0" quotePrefix="0" xfId="0"/>
    <xf numFmtId="164" fontId="14" fillId="8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5" fontId="14" fillId="9" borderId="0" pivotButton="0" quotePrefix="0" xfId="0"/>
    <xf numFmtId="164" fontId="7" fillId="6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0" customWidth="1" min="3" max="3"/>
    <col width="15" customWidth="1" min="4" max="4"/>
  </cols>
  <sheetData>
    <row r="1">
      <c r="A1" s="1" t="inlineStr">
        <is>
          <t>SISTEMA INTEGRAL DE CONTROLLER FINANCIERO</t>
        </is>
      </c>
    </row>
    <row r="2">
      <c r="A2" s="2" t="inlineStr">
        <is>
          <t>CONFIGURACIÓN DEL ANÁLISIS</t>
        </is>
      </c>
    </row>
    <row r="5">
      <c r="A5" s="3" t="inlineStr">
        <is>
          <t>Parámetro</t>
        </is>
      </c>
      <c r="B5" s="3" t="inlineStr">
        <is>
          <t>EMPRESA EJEMPLO S.A.S.</t>
        </is>
      </c>
      <c r="C5" s="3" t="inlineStr">
        <is>
          <t>Descripción</t>
        </is>
      </c>
    </row>
    <row r="6">
      <c r="A6" s="4" t="inlineStr">
        <is>
          <t>Nombre de la Empresa:</t>
        </is>
      </c>
      <c r="B6" s="5" t="inlineStr"/>
      <c r="C6" t="inlineStr">
        <is>
          <t>Ingrese el nombre completo de la empresa</t>
        </is>
      </c>
    </row>
    <row r="7">
      <c r="A7" s="4" t="inlineStr">
        <is>
          <t>Sector Económico:</t>
        </is>
      </c>
      <c r="B7" s="5" t="inlineStr">
        <is>
          <t>Manufactura</t>
        </is>
      </c>
      <c r="C7" t="inlineStr">
        <is>
          <t>Seleccione el sector de la lista</t>
        </is>
      </c>
    </row>
    <row r="8">
      <c r="A8" s="4" t="inlineStr">
        <is>
          <t>Código CIIU:</t>
        </is>
      </c>
      <c r="B8" s="5" t="inlineStr">
        <is>
          <t>1234</t>
        </is>
      </c>
      <c r="C8" t="inlineStr">
        <is>
          <t>Código de clasificación industrial</t>
        </is>
      </c>
    </row>
    <row r="9">
      <c r="A9" s="4" t="inlineStr">
        <is>
          <t>Moneda:</t>
        </is>
      </c>
      <c r="B9" s="5" t="inlineStr">
        <is>
          <t>COP</t>
        </is>
      </c>
      <c r="C9" t="inlineStr">
        <is>
          <t>Moneda de presentación</t>
        </is>
      </c>
    </row>
    <row r="10">
      <c r="A10" s="4" t="inlineStr">
        <is>
          <t>Unidad de Medida:</t>
        </is>
      </c>
      <c r="B10" s="5" t="inlineStr">
        <is>
          <t>Millones</t>
        </is>
      </c>
      <c r="C10" t="inlineStr">
        <is>
          <t>Miles, Millones o Unidades</t>
        </is>
      </c>
    </row>
    <row r="11">
      <c r="A11" s="4" t="inlineStr">
        <is>
          <t>Año Base de Análisis:</t>
        </is>
      </c>
      <c r="B11" s="5" t="n">
        <v>2024</v>
      </c>
      <c r="C11" t="inlineStr">
        <is>
          <t>Año actual de análisis</t>
        </is>
      </c>
    </row>
    <row r="12">
      <c r="A12" s="4" t="inlineStr">
        <is>
          <t>Años Históricos:</t>
        </is>
      </c>
      <c r="B12" s="5" t="n">
        <v>3</v>
      </c>
      <c r="C12" t="inlineStr">
        <is>
          <t>Número de años históricos (2-5)</t>
        </is>
      </c>
    </row>
    <row r="13">
      <c r="A13" s="4" t="inlineStr">
        <is>
          <t>Años de Proyección:</t>
        </is>
      </c>
      <c r="B13" s="5" t="n">
        <v>5</v>
      </c>
      <c r="C13" t="inlineStr">
        <is>
          <t>Años para proyectar (5-7)</t>
        </is>
      </c>
    </row>
    <row r="15">
      <c r="A15" s="4" t="inlineStr">
        <is>
          <t>Tasa de Impuesto de Renta:</t>
        </is>
      </c>
      <c r="B15" s="5" t="inlineStr">
        <is>
          <t>35%</t>
        </is>
      </c>
      <c r="C15" t="inlineStr">
        <is>
          <t>Colombia: 35% para empresas</t>
        </is>
      </c>
    </row>
    <row r="16">
      <c r="A16" s="4" t="inlineStr">
        <is>
          <t>Tasa Libre de Riesgo:</t>
        </is>
      </c>
      <c r="B16" s="5" t="inlineStr">
        <is>
          <t>12.5%</t>
        </is>
      </c>
      <c r="C16" t="inlineStr">
        <is>
          <t>TES Colombia 10 años aprox.</t>
        </is>
      </c>
    </row>
  </sheetData>
  <mergeCells count="2">
    <mergeCell ref="A1:D1"/>
    <mergeCell ref="A2:D2"/>
  </mergeCells>
  <dataValidations count="2">
    <dataValidation sqref="B7" showDropDown="0" showInputMessage="0" showErrorMessage="0" allowBlank="0" type="list">
      <formula1>"Manufactura,Servicios,Comercio,Tecnología,Agroindustria,Salud,Construcción,Otro"</formula1>
    </dataValidation>
    <dataValidation sqref="B10" showDropDown="0" showInputMessage="0" showErrorMessage="0" allowBlank="0" type="list">
      <formula1>"Miles,Millones,Unidades"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GUÍA DE USO - SISTEMA INTEGRAL DE CONTROLLER FINANCIERO</t>
        </is>
      </c>
    </row>
    <row r="2"/>
    <row r="3">
      <c r="A3" t="inlineStr">
        <is>
          <t>BIENVENIDO AL SISTEMA INTEGRAL DE CONTROLLER FINANCIERO</t>
        </is>
      </c>
    </row>
    <row r="4"/>
    <row r="5">
      <c r="A5" t="inlineStr">
        <is>
          <t>Esta herramienta ha sido diseñada para realizar análisis financiero completo de empresas,</t>
        </is>
      </c>
    </row>
    <row r="6">
      <c r="A6" t="inlineStr">
        <is>
          <t>siguiendo la metodología de consultoría financiera para PYMEs colombianas.</t>
        </is>
      </c>
    </row>
    <row r="7"/>
    <row r="8">
      <c r="A8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9"/>
    <row r="10">
      <c r="A10" s="6" t="inlineStr">
        <is>
          <t>PASO 1: CONFIGURACIÓN INICIAL</t>
        </is>
      </c>
    </row>
    <row r="11">
      <c r="A11" s="7" t="inlineStr">
        <is>
          <t>• Vaya a la hoja 'CONFIGURACIÓN'</t>
        </is>
      </c>
    </row>
    <row r="12">
      <c r="A12" s="7" t="inlineStr">
        <is>
          <t>• Complete los datos básicos de la empresa (nombre, sector, CIIU, etc.)</t>
        </is>
      </c>
    </row>
    <row r="13">
      <c r="A13" s="7" t="inlineStr">
        <is>
          <t>• Las celdas de entrada están marcadas en AZUL con fondo gris</t>
        </is>
      </c>
    </row>
    <row r="14">
      <c r="A14" s="7" t="inlineStr">
        <is>
          <t>• Seleccione el sector económico de la lista desplegable</t>
        </is>
      </c>
    </row>
    <row r="15"/>
    <row r="16">
      <c r="A16" s="6" t="inlineStr">
        <is>
          <t>PASO 2: INGRESAR ESTADO DE RESULTADOS</t>
        </is>
      </c>
    </row>
    <row r="17">
      <c r="A17" s="7" t="inlineStr">
        <is>
          <t>• Vaya a la hoja 'EERR' (Estado de Resultados)</t>
        </is>
      </c>
    </row>
    <row r="18">
      <c r="A18" s="7" t="inlineStr">
        <is>
          <t>• Ingrese los datos financieros para cada año en las celdas AZULES</t>
        </is>
      </c>
    </row>
    <row r="19">
      <c r="A19" s="7" t="inlineStr">
        <is>
          <t>• Los cálculos se realizarán automáticamente (celdas en negro)</t>
        </is>
      </c>
    </row>
    <row r="20">
      <c r="A20" s="7" t="inlineStr">
        <is>
          <t>• El análisis vertical (AV%) y horizontal (AH%) se calculará solo</t>
        </is>
      </c>
    </row>
    <row r="21"/>
    <row r="22">
      <c r="A22" s="6" t="inlineStr">
        <is>
          <t>PASO 3: INGRESAR BALANCE GENERAL</t>
        </is>
      </c>
    </row>
    <row r="23">
      <c r="A23" s="7" t="inlineStr">
        <is>
          <t>• Vaya a la hoja 'ESF' (Estado de Situación Financiera)</t>
        </is>
      </c>
    </row>
    <row r="24">
      <c r="A24" s="7" t="inlineStr">
        <is>
          <t>• Complete todas las partidas del Activo, Pasivo y Patrimonio</t>
        </is>
      </c>
    </row>
    <row r="25">
      <c r="A25" s="7" t="inlineStr">
        <is>
          <t>• IMPORTANTE: Verifique que el balance cuadre (verificación al final)</t>
        </is>
      </c>
    </row>
    <row r="26">
      <c r="A26" s="7" t="inlineStr">
        <is>
          <t>• Si hay error de cuadre, revise las cifras ingresadas</t>
        </is>
      </c>
    </row>
    <row r="27"/>
    <row r="28">
      <c r="A28" s="6" t="inlineStr">
        <is>
          <t>PASO 4: REVISAR INDICADORES CALCULADOS</t>
        </is>
      </c>
    </row>
    <row r="29">
      <c r="A29" s="7" t="inlineStr">
        <is>
          <t>• Vaya a la hoja 'INDICADORES'</t>
        </is>
      </c>
    </row>
    <row r="30">
      <c r="A30" s="7" t="inlineStr">
        <is>
          <t>• Más de 30 indicadores se calculan automáticamente</t>
        </is>
      </c>
    </row>
    <row r="31">
      <c r="A31" s="7" t="inlineStr">
        <is>
          <t>• Revise los semáforos para identificar alertas rápidamente</t>
        </is>
      </c>
    </row>
    <row r="32">
      <c r="A32" t="inlineStr">
        <is>
          <t xml:space="preserve">  Verde = Óptimo | Amarillo = Precaución | Rojo = Alerta</t>
        </is>
      </c>
    </row>
    <row r="33"/>
    <row r="34">
      <c r="A34" s="6" t="inlineStr">
        <is>
          <t>PASO 5: ANÁLISIS DE PUNTO DE EQUILIBRIO</t>
        </is>
      </c>
    </row>
    <row r="35">
      <c r="A35" s="7" t="inlineStr">
        <is>
          <t>• Vaya a la hoja 'PUNTO EQUILIBRIO'</t>
        </is>
      </c>
    </row>
    <row r="36">
      <c r="A36" s="7" t="inlineStr">
        <is>
          <t>• Ingrese: precio de venta unitario, costo variable unitario y costos fijos</t>
        </is>
      </c>
    </row>
    <row r="37">
      <c r="A37" s="7" t="inlineStr">
        <is>
          <t>• El punto de equilibrio se calcula en unidades y en pesos</t>
        </is>
      </c>
    </row>
    <row r="38">
      <c r="A38" s="7" t="inlineStr">
        <is>
          <t>• Revise el análisis de sensibilidad para diferentes escenarios</t>
        </is>
      </c>
    </row>
    <row r="39"/>
    <row r="40">
      <c r="A40" s="6" t="inlineStr">
        <is>
          <t>PASO 6: PROYECCIONES FINANCIERAS</t>
        </is>
      </c>
    </row>
    <row r="41">
      <c r="A41" s="7" t="inlineStr">
        <is>
          <t>• Vaya a la hoja 'PROYECCIONES'</t>
        </is>
      </c>
    </row>
    <row r="42">
      <c r="A42" s="7" t="inlineStr">
        <is>
          <t>• Defina los supuestos (crecimiento, márgenes, etc.) en celdas amarillas</t>
        </is>
      </c>
    </row>
    <row r="43">
      <c r="A43" s="7" t="inlineStr">
        <is>
          <t>• Las proyecciones se generan para 5-7 años</t>
        </is>
      </c>
    </row>
    <row r="44">
      <c r="A44" s="7" t="inlineStr">
        <is>
          <t>• Se incluyen 3 escenarios: Base, Optimista y Pesimista</t>
        </is>
      </c>
    </row>
    <row r="45"/>
    <row r="46">
      <c r="A46" s="6" t="inlineStr">
        <is>
          <t>PASO 7: VALORACIÓN (OPCIONAL)</t>
        </is>
      </c>
    </row>
    <row r="47">
      <c r="A47" s="7" t="inlineStr">
        <is>
          <t>• Vaya a la hoja 'VALORACIÓN'</t>
        </is>
      </c>
    </row>
    <row r="48">
      <c r="A48" s="7" t="inlineStr">
        <is>
          <t>• Calcule el WACC (costo de capital)</t>
        </is>
      </c>
    </row>
    <row r="49">
      <c r="A49" s="7" t="inlineStr">
        <is>
          <t>• Revise el flujo de caja descontado</t>
        </is>
      </c>
    </row>
    <row r="50">
      <c r="A50" s="7" t="inlineStr">
        <is>
          <t>• Obtenga el valor estimado de la empresa</t>
        </is>
      </c>
    </row>
    <row r="51"/>
    <row r="52">
      <c r="A52" s="6" t="inlineStr">
        <is>
          <t>PASO 8: COMPARACIÓN CON INDUSTRIA</t>
        </is>
      </c>
    </row>
    <row r="53">
      <c r="A53" s="7" t="inlineStr">
        <is>
          <t>• Vaya a la hoja 'BENCHMARKS'</t>
        </is>
      </c>
    </row>
    <row r="54">
      <c r="A54" s="7" t="inlineStr">
        <is>
          <t>• Compare los indicadores de la empresa vs el sector</t>
        </is>
      </c>
    </row>
    <row r="55">
      <c r="A55" s="7" t="inlineStr">
        <is>
          <t>• Identifique brechas y oportunidades de mejora</t>
        </is>
      </c>
    </row>
    <row r="56"/>
    <row r="57">
      <c r="A57" s="6" t="inlineStr">
        <is>
          <t>PASO 9: GENERAR DIAGNÓSTICO AUTOMÁTICO</t>
        </is>
      </c>
    </row>
    <row r="58">
      <c r="A58" s="7" t="inlineStr">
        <is>
          <t>• Vaya a la hoja 'DIAGNÓSTICO'</t>
        </is>
      </c>
    </row>
    <row r="59">
      <c r="A59" s="7" t="inlineStr">
        <is>
          <t>• Presione el botón 'Generar Diagnóstico' (Macro)</t>
        </is>
      </c>
    </row>
    <row r="60">
      <c r="A60" s="7" t="inlineStr">
        <is>
          <t>• Se generará un informe completo con interpretaciones humanizadas</t>
        </is>
      </c>
    </row>
    <row r="61">
      <c r="A61" s="7" t="inlineStr">
        <is>
          <t>• El diagnóstico incluye hallazgos, alertas y recomendaciones</t>
        </is>
      </c>
    </row>
    <row r="62"/>
    <row r="63">
      <c r="A63" s="6" t="inlineStr">
        <is>
          <t>PASO 10: VISUALIZAR DASHBOARD</t>
        </is>
      </c>
    </row>
    <row r="64">
      <c r="A64" s="7" t="inlineStr">
        <is>
          <t>• Vaya a la hoja 'INFORME VISUAL'</t>
        </is>
      </c>
    </row>
    <row r="65">
      <c r="A65" s="7" t="inlineStr">
        <is>
          <t>• Presione el botón 'Actualizar Gráficos' (Macro)</t>
        </is>
      </c>
    </row>
    <row r="66">
      <c r="A66" s="7" t="inlineStr">
        <is>
          <t>• Se mostrarán gráficos ejecutivos del análisis</t>
        </is>
      </c>
    </row>
    <row r="67"/>
    <row r="68">
      <c r="A68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69"/>
    <row r="70">
      <c r="A70" s="6" t="inlineStr">
        <is>
          <t>MACROS DISPONIBLES:</t>
        </is>
      </c>
    </row>
    <row r="71"/>
    <row r="72">
      <c r="A72" s="4" t="inlineStr">
        <is>
          <t>1. GenerarDiagnostico: Crea el diagnóstico automático con interpretaciones</t>
        </is>
      </c>
    </row>
    <row r="73">
      <c r="A73" s="4" t="inlineStr">
        <is>
          <t>2. ActualizarGraficos: Actualiza todos los gráficos del dashboard</t>
        </is>
      </c>
    </row>
    <row r="74">
      <c r="A74" s="4" t="inlineStr">
        <is>
          <t>3. ExportarPDF: Exporta el diagnóstico e informe visual a PDF</t>
        </is>
      </c>
    </row>
    <row r="75">
      <c r="A75" s="4" t="inlineStr">
        <is>
          <t>4. LimpiarDatos: Limpia todas las celdas de entrada para nuevo análisis</t>
        </is>
      </c>
    </row>
    <row r="76">
      <c r="A76" s="4" t="inlineStr">
        <is>
          <t>5. CalcularEscenarios: Recalcula las proyecciones en 3 escenarios</t>
        </is>
      </c>
    </row>
    <row r="77"/>
    <row r="78">
      <c r="A78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79"/>
    <row r="80">
      <c r="A80" s="6" t="inlineStr">
        <is>
          <t>CÓDIGOS DE COLOR:</t>
        </is>
      </c>
    </row>
    <row r="81"/>
    <row r="82">
      <c r="A82" s="7" t="inlineStr">
        <is>
          <t>• AZUL = Celdas de entrada (usted debe completar estos datos)</t>
        </is>
      </c>
    </row>
    <row r="83">
      <c r="A83" s="7" t="inlineStr">
        <is>
          <t>• NEGRO = Fórmulas y cálculos automáticos (no modificar)</t>
        </is>
      </c>
    </row>
    <row r="84">
      <c r="A84" s="7" t="inlineStr">
        <is>
          <t>• VERDE = Referencias a otras hojas</t>
        </is>
      </c>
    </row>
    <row r="85">
      <c r="A85" s="7" t="inlineStr">
        <is>
          <t>• AMARILLO = Supuestos clave que requieren atención especial</t>
        </is>
      </c>
    </row>
    <row r="86">
      <c r="A86" s="7" t="inlineStr">
        <is>
          <t>• ROJO = Indicadores en zona de alerta</t>
        </is>
      </c>
    </row>
    <row r="87">
      <c r="A87" s="7" t="inlineStr">
        <is>
          <t>• VERDE CLARO = Indicadores en zona óptima</t>
        </is>
      </c>
    </row>
    <row r="88">
      <c r="A88" s="7" t="inlineStr">
        <is>
          <t>• AMARILLO CLARO = Indicadores en zona de precaución</t>
        </is>
      </c>
    </row>
    <row r="89"/>
    <row r="90">
      <c r="A90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91"/>
    <row r="92">
      <c r="A92" s="6" t="inlineStr">
        <is>
          <t>RECOMENDACIONES IMPORTANTES:</t>
        </is>
      </c>
    </row>
    <row r="93"/>
    <row r="94">
      <c r="A94" s="7" t="inlineStr">
        <is>
          <t>✓ Ingrese datos reales y verificados de los estados financieros</t>
        </is>
      </c>
    </row>
    <row r="95">
      <c r="A95" s="7" t="inlineStr">
        <is>
          <t>✓ No modifique las fórmulas (celdas en negro)</t>
        </is>
      </c>
    </row>
    <row r="96">
      <c r="A96" s="7" t="inlineStr">
        <is>
          <t>✓ Revise que el balance cuadre antes de continuar</t>
        </is>
      </c>
    </row>
    <row r="97">
      <c r="A97" s="7" t="inlineStr">
        <is>
          <t>✓ Compare los resultados con los benchmarks de la industria</t>
        </is>
      </c>
    </row>
    <row r="98">
      <c r="A98" s="7" t="inlineStr">
        <is>
          <t>✓ Use el diagnóstico automático como guía, no como verdad absoluta</t>
        </is>
      </c>
    </row>
    <row r="99">
      <c r="A99" s="7" t="inlineStr">
        <is>
          <t>✓ Consulte con un contador o asesor financiero para validar interpretaciones</t>
        </is>
      </c>
    </row>
    <row r="100">
      <c r="A100" s="7" t="inlineStr">
        <is>
          <t>✓ Guarde regularmente el archivo con diferentes versiones</t>
        </is>
      </c>
    </row>
    <row r="101">
      <c r="A101" s="7" t="inlineStr">
        <is>
          <t>✓ Active las macros al abrir el archivo para funcionalidad completa</t>
        </is>
      </c>
    </row>
    <row r="102"/>
    <row r="103">
      <c r="A103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104"/>
    <row r="105">
      <c r="A105" t="inlineStr">
        <is>
          <t>SOPORTE Y CONTACTO:</t>
        </is>
      </c>
    </row>
    <row r="106"/>
    <row r="107">
      <c r="A107" t="inlineStr">
        <is>
          <t>Esta herramienta fue desarrollada siguiendo metodología Trulab para análisis</t>
        </is>
      </c>
    </row>
    <row r="108">
      <c r="A108" t="inlineStr">
        <is>
          <t>financiero de PYMEs colombianas.</t>
        </is>
      </c>
    </row>
    <row r="109"/>
    <row r="110">
      <c r="A110" t="inlineStr">
        <is>
          <t>Para soporte técnico o consultoría financiera, contacte a su asesor.</t>
        </is>
      </c>
    </row>
    <row r="111"/>
    <row r="112">
      <c r="A112" t="inlineStr">
        <is>
          <t>Versión: 1.0</t>
        </is>
      </c>
    </row>
    <row r="113">
      <c r="A113" t="inlineStr">
        <is>
          <t>Fecha: Diciembre 2024</t>
        </is>
      </c>
    </row>
    <row r="114">
      <c r="A114" t="inlineStr">
        <is>
          <t>Compatibilidad: Excel 2016 o superior, LibreOffice Calc</t>
        </is>
      </c>
    </row>
    <row r="115"/>
    <row r="116">
      <c r="A116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</sheetData>
  <mergeCells count="116">
    <mergeCell ref="A84:F84"/>
    <mergeCell ref="A66:F66"/>
    <mergeCell ref="A75:F75"/>
    <mergeCell ref="A50:F50"/>
    <mergeCell ref="A3:F3"/>
    <mergeCell ref="A55:F55"/>
    <mergeCell ref="A86:F86"/>
    <mergeCell ref="A95:F95"/>
    <mergeCell ref="A47:F47"/>
    <mergeCell ref="A5:F5"/>
    <mergeCell ref="A32:F32"/>
    <mergeCell ref="A97:F97"/>
    <mergeCell ref="A20:F20"/>
    <mergeCell ref="A72:F72"/>
    <mergeCell ref="A29:F29"/>
    <mergeCell ref="A81:F81"/>
    <mergeCell ref="A38:F38"/>
    <mergeCell ref="A13:F13"/>
    <mergeCell ref="A44:F44"/>
    <mergeCell ref="A31:F31"/>
    <mergeCell ref="A58:F58"/>
    <mergeCell ref="A40:F40"/>
    <mergeCell ref="A15:F15"/>
    <mergeCell ref="A64:F64"/>
    <mergeCell ref="A24:F24"/>
    <mergeCell ref="A73:F73"/>
    <mergeCell ref="A51:F51"/>
    <mergeCell ref="A107:F107"/>
    <mergeCell ref="A82:F82"/>
    <mergeCell ref="A60:F60"/>
    <mergeCell ref="A70:F70"/>
    <mergeCell ref="A7:F7"/>
    <mergeCell ref="A41:F41"/>
    <mergeCell ref="A16:F16"/>
    <mergeCell ref="A99:F99"/>
    <mergeCell ref="A108:F108"/>
    <mergeCell ref="A27:F27"/>
    <mergeCell ref="A18:F18"/>
    <mergeCell ref="A101:F101"/>
    <mergeCell ref="A2:F2"/>
    <mergeCell ref="A33:F33"/>
    <mergeCell ref="A85:F85"/>
    <mergeCell ref="A42:F42"/>
    <mergeCell ref="A22:F22"/>
    <mergeCell ref="A35:F35"/>
    <mergeCell ref="A62:F62"/>
    <mergeCell ref="A28:F28"/>
    <mergeCell ref="A112:F112"/>
    <mergeCell ref="A9:F9"/>
    <mergeCell ref="A48:F48"/>
    <mergeCell ref="A30:F30"/>
    <mergeCell ref="A114:F114"/>
    <mergeCell ref="A59:F59"/>
    <mergeCell ref="A11:F11"/>
    <mergeCell ref="A98:F98"/>
    <mergeCell ref="A79:F79"/>
    <mergeCell ref="A61:F61"/>
    <mergeCell ref="A88:F88"/>
    <mergeCell ref="A54:F54"/>
    <mergeCell ref="A46:F46"/>
    <mergeCell ref="A90:F90"/>
    <mergeCell ref="A74:F74"/>
    <mergeCell ref="A105:F105"/>
    <mergeCell ref="A56:F56"/>
    <mergeCell ref="A26:F26"/>
    <mergeCell ref="A71:F71"/>
    <mergeCell ref="A76:F76"/>
    <mergeCell ref="A116:F116"/>
    <mergeCell ref="A8:F8"/>
    <mergeCell ref="A17:F17"/>
    <mergeCell ref="A100:F100"/>
    <mergeCell ref="A53:F53"/>
    <mergeCell ref="A109:F109"/>
    <mergeCell ref="A63:F63"/>
    <mergeCell ref="A10:F10"/>
    <mergeCell ref="A115:F115"/>
    <mergeCell ref="A93:F93"/>
    <mergeCell ref="A19:F19"/>
    <mergeCell ref="A68:F68"/>
    <mergeCell ref="A102:F102"/>
    <mergeCell ref="A111:F111"/>
    <mergeCell ref="A34:F34"/>
    <mergeCell ref="A83:F83"/>
    <mergeCell ref="A92:F92"/>
    <mergeCell ref="A39:F39"/>
    <mergeCell ref="A49:F49"/>
    <mergeCell ref="A36:F36"/>
    <mergeCell ref="A1:F1"/>
    <mergeCell ref="A45:F45"/>
    <mergeCell ref="A94:F94"/>
    <mergeCell ref="A103:F103"/>
    <mergeCell ref="A78:F78"/>
    <mergeCell ref="A87:F87"/>
    <mergeCell ref="A65:F65"/>
    <mergeCell ref="A80:F80"/>
    <mergeCell ref="A37:F37"/>
    <mergeCell ref="A89:F89"/>
    <mergeCell ref="A12:F12"/>
    <mergeCell ref="A21:F21"/>
    <mergeCell ref="A104:F104"/>
    <mergeCell ref="A57:F57"/>
    <mergeCell ref="A113:F113"/>
    <mergeCell ref="A14:F14"/>
    <mergeCell ref="A23:F23"/>
    <mergeCell ref="A106:F106"/>
    <mergeCell ref="A4:F4"/>
    <mergeCell ref="A96:F96"/>
    <mergeCell ref="A91:F91"/>
    <mergeCell ref="A43:F43"/>
    <mergeCell ref="A52:F52"/>
    <mergeCell ref="A67:F67"/>
    <mergeCell ref="A77:F77"/>
    <mergeCell ref="A110:F110"/>
    <mergeCell ref="A6:F6"/>
    <mergeCell ref="A69:F69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0" customWidth="1" min="3" max="3"/>
    <col width="15" customWidth="1" min="4" max="4"/>
    <col width="10" customWidth="1" min="5" max="5"/>
    <col width="10" customWidth="1" min="6" max="6"/>
    <col width="15" customWidth="1" min="7" max="7"/>
    <col width="10" customWidth="1" min="8" max="8"/>
    <col width="10" customWidth="1" min="9" max="9"/>
    <col width="15" customWidth="1" min="10" max="10"/>
    <col width="10" customWidth="1" min="11" max="11"/>
  </cols>
  <sheetData>
    <row r="1">
      <c r="A1" s="1" t="inlineStr">
        <is>
          <t>ESTADO DE RESULTADOS</t>
        </is>
      </c>
    </row>
    <row r="2">
      <c r="A2" t="inlineStr">
        <is>
          <t>Cifras en: [Referencia a Configuración]</t>
        </is>
      </c>
    </row>
    <row r="4">
      <c r="A4" s="8" t="inlineStr">
        <is>
          <t>CONCEPTO</t>
        </is>
      </c>
      <c r="B4" s="8" t="inlineStr">
        <is>
          <t>Año 2022</t>
        </is>
      </c>
      <c r="C4" s="8" t="inlineStr">
        <is>
          <t>AV%</t>
        </is>
      </c>
      <c r="D4" s="8" t="inlineStr">
        <is>
          <t>Año 2023</t>
        </is>
      </c>
      <c r="E4" s="8" t="inlineStr">
        <is>
          <t>AV%</t>
        </is>
      </c>
      <c r="F4" s="8" t="inlineStr">
        <is>
          <t>AH%</t>
        </is>
      </c>
      <c r="G4" s="8" t="inlineStr">
        <is>
          <t>Año 2024</t>
        </is>
      </c>
      <c r="H4" s="8" t="inlineStr">
        <is>
          <t>AV%</t>
        </is>
      </c>
      <c r="I4" s="8" t="inlineStr">
        <is>
          <t>AH%</t>
        </is>
      </c>
      <c r="J4" s="8" t="inlineStr">
        <is>
          <t>Promedio</t>
        </is>
      </c>
      <c r="K4" s="8" t="inlineStr">
        <is>
          <t>Tendencia</t>
        </is>
      </c>
    </row>
    <row r="5">
      <c r="A5" s="4" t="inlineStr">
        <is>
          <t>Ingresos de Actividades Ordinarias (Ventas)</t>
        </is>
      </c>
      <c r="B5" s="21" t="n">
        <v>15000</v>
      </c>
      <c r="C5" s="22">
        <f>IFERROR(B5/B$5,0)</f>
        <v/>
      </c>
      <c r="D5" s="21" t="n">
        <v>17500</v>
      </c>
      <c r="E5" s="22">
        <f>IFERROR(D5/D$5,0)</f>
        <v/>
      </c>
      <c r="F5" s="22">
        <f>IFERROR((D5-B5)/B5,0)</f>
        <v/>
      </c>
      <c r="G5" s="21" t="n">
        <v>20000</v>
      </c>
      <c r="H5" s="22">
        <f>IFERROR(G5/G$5,0)</f>
        <v/>
      </c>
      <c r="I5" s="22">
        <f>IFERROR((G5-D5)/D5,0)</f>
        <v/>
      </c>
      <c r="J5" s="23">
        <f>IFERROR(AVERAGE(B5,D5,G5),0)</f>
        <v/>
      </c>
    </row>
    <row r="6">
      <c r="A6" s="4" t="inlineStr">
        <is>
          <t>(-) Costo de Ventas / Costo de Servicios</t>
        </is>
      </c>
      <c r="B6" s="21" t="n">
        <v>9000</v>
      </c>
      <c r="C6" s="22">
        <f>IFERROR(B6/B$5,0)</f>
        <v/>
      </c>
      <c r="D6" s="21" t="n">
        <v>10500</v>
      </c>
      <c r="E6" s="22">
        <f>IFERROR(D6/D$5,0)</f>
        <v/>
      </c>
      <c r="F6" s="22">
        <f>IFERROR((D6-B6)/B6,0)</f>
        <v/>
      </c>
      <c r="G6" s="21" t="n">
        <v>12000</v>
      </c>
      <c r="H6" s="22">
        <f>IFERROR(G6/G$5,0)</f>
        <v/>
      </c>
      <c r="I6" s="22">
        <f>IFERROR((G6-D6)/D6,0)</f>
        <v/>
      </c>
      <c r="J6" s="23">
        <f>IFERROR(AVERAGE(B6,D6,G6),0)</f>
        <v/>
      </c>
    </row>
    <row r="7">
      <c r="A7" s="9" t="inlineStr">
        <is>
          <t>(=) UTILIDAD BRUTA</t>
        </is>
      </c>
      <c r="B7" s="24">
        <f>IFERROR(B5-B6,0)</f>
        <v/>
      </c>
      <c r="C7" s="22">
        <f>IFERROR(B7/B$5,0)</f>
        <v/>
      </c>
      <c r="D7" s="24">
        <f>IFERROR(D5-D6,0)</f>
        <v/>
      </c>
      <c r="E7" s="22">
        <f>IFERROR(D7/D$5,0)</f>
        <v/>
      </c>
      <c r="F7" s="22">
        <f>IFERROR((D7-B7)/B7,0)</f>
        <v/>
      </c>
      <c r="G7" s="24">
        <f>IFERROR(G5-G6,0)</f>
        <v/>
      </c>
      <c r="H7" s="22">
        <f>IFERROR(G7/G$5,0)</f>
        <v/>
      </c>
      <c r="I7" s="22">
        <f>IFERROR((G7-D7)/D7,0)</f>
        <v/>
      </c>
      <c r="J7" s="23">
        <f>IFERROR(AVERAGE(B7,D7,G7),0)</f>
        <v/>
      </c>
    </row>
    <row r="8">
      <c r="B8" s="23" t="n"/>
      <c r="C8" s="22">
        <f>IFERROR(B8/B$5,0)</f>
        <v/>
      </c>
      <c r="D8" s="23" t="n"/>
      <c r="E8" s="22">
        <f>IFERROR(D8/D$5,0)</f>
        <v/>
      </c>
      <c r="F8" s="22">
        <f>IFERROR((D8-B8)/B8,0)</f>
        <v/>
      </c>
      <c r="G8" s="23" t="n"/>
      <c r="H8" s="22">
        <f>IFERROR(G8/G$5,0)</f>
        <v/>
      </c>
      <c r="I8" s="22">
        <f>IFERROR((G8-D8)/D8,0)</f>
        <v/>
      </c>
      <c r="J8" s="23">
        <f>IFERROR(AVERAGE(B8,D8,G8),0)</f>
        <v/>
      </c>
    </row>
    <row r="9">
      <c r="A9" s="4" t="inlineStr">
        <is>
          <t>(-) Gastos Administrativos (excepto Deprec. y Amort.)</t>
        </is>
      </c>
      <c r="B9" s="21" t="n">
        <v>2500</v>
      </c>
      <c r="C9" s="22">
        <f>IFERROR(B9/B$5,0)</f>
        <v/>
      </c>
      <c r="D9" s="21" t="n">
        <v>2700</v>
      </c>
      <c r="E9" s="22">
        <f>IFERROR(D9/D$5,0)</f>
        <v/>
      </c>
      <c r="F9" s="22">
        <f>IFERROR((D9-B9)/B9,0)</f>
        <v/>
      </c>
      <c r="G9" s="21" t="n">
        <v>3000</v>
      </c>
      <c r="H9" s="22">
        <f>IFERROR(G9/G$5,0)</f>
        <v/>
      </c>
      <c r="I9" s="22">
        <f>IFERROR((G9-D9)/D9,0)</f>
        <v/>
      </c>
      <c r="J9" s="23">
        <f>IFERROR(AVERAGE(B9,D9,G9),0)</f>
        <v/>
      </c>
    </row>
    <row r="10">
      <c r="A10" s="4" t="inlineStr">
        <is>
          <t>(-) Gastos de Ventas (excepto Deprec. y Amort.)</t>
        </is>
      </c>
      <c r="B10" s="21" t="n">
        <v>1500</v>
      </c>
      <c r="C10" s="22">
        <f>IFERROR(B10/B$5,0)</f>
        <v/>
      </c>
      <c r="D10" s="21" t="n">
        <v>1600</v>
      </c>
      <c r="E10" s="22">
        <f>IFERROR(D10/D$5,0)</f>
        <v/>
      </c>
      <c r="F10" s="22">
        <f>IFERROR((D10-B10)/B10,0)</f>
        <v/>
      </c>
      <c r="G10" s="21" t="n">
        <v>1800</v>
      </c>
      <c r="H10" s="22">
        <f>IFERROR(G10/G$5,0)</f>
        <v/>
      </c>
      <c r="I10" s="22">
        <f>IFERROR((G10-D10)/D10,0)</f>
        <v/>
      </c>
      <c r="J10" s="23">
        <f>IFERROR(AVERAGE(B10,D10,G10),0)</f>
        <v/>
      </c>
    </row>
    <row r="11">
      <c r="A11" s="4" t="inlineStr">
        <is>
          <t>(-) Depreciación</t>
        </is>
      </c>
      <c r="B11" s="21" t="n">
        <v>400</v>
      </c>
      <c r="C11" s="22">
        <f>IFERROR(B11/B$5,0)</f>
        <v/>
      </c>
      <c r="D11" s="21" t="n">
        <v>450</v>
      </c>
      <c r="E11" s="22">
        <f>IFERROR(D11/D$5,0)</f>
        <v/>
      </c>
      <c r="F11" s="22">
        <f>IFERROR((D11-B11)/B11,0)</f>
        <v/>
      </c>
      <c r="G11" s="21" t="n">
        <v>500</v>
      </c>
      <c r="H11" s="22">
        <f>IFERROR(G11/G$5,0)</f>
        <v/>
      </c>
      <c r="I11" s="22">
        <f>IFERROR((G11-D11)/D11,0)</f>
        <v/>
      </c>
      <c r="J11" s="23">
        <f>IFERROR(AVERAGE(B11,D11,G11),0)</f>
        <v/>
      </c>
    </row>
    <row r="12">
      <c r="A12" s="4" t="inlineStr">
        <is>
          <t>(-) Amortización</t>
        </is>
      </c>
      <c r="B12" s="21" t="n">
        <v>100</v>
      </c>
      <c r="C12" s="22">
        <f>IFERROR(B12/B$5,0)</f>
        <v/>
      </c>
      <c r="D12" s="21" t="n">
        <v>110</v>
      </c>
      <c r="E12" s="22">
        <f>IFERROR(D12/D$5,0)</f>
        <v/>
      </c>
      <c r="F12" s="22">
        <f>IFERROR((D12-B12)/B12,0)</f>
        <v/>
      </c>
      <c r="G12" s="21" t="n">
        <v>120</v>
      </c>
      <c r="H12" s="22">
        <f>IFERROR(G12/G$5,0)</f>
        <v/>
      </c>
      <c r="I12" s="22">
        <f>IFERROR((G12-D12)/D12,0)</f>
        <v/>
      </c>
      <c r="J12" s="23">
        <f>IFERROR(AVERAGE(B12,D12,G12),0)</f>
        <v/>
      </c>
    </row>
    <row r="13">
      <c r="A13" s="9" t="inlineStr">
        <is>
          <t>(=) EBITDA</t>
        </is>
      </c>
      <c r="B13" s="24">
        <f>IFERROR(B7-B9-B10,0)</f>
        <v/>
      </c>
      <c r="C13" s="22">
        <f>IFERROR(B13/B$5,0)</f>
        <v/>
      </c>
      <c r="D13" s="24">
        <f>IFERROR(D7-D9-D10,0)</f>
        <v/>
      </c>
      <c r="E13" s="22">
        <f>IFERROR(D13/D$5,0)</f>
        <v/>
      </c>
      <c r="F13" s="22">
        <f>IFERROR((D13-B13)/B13,0)</f>
        <v/>
      </c>
      <c r="G13" s="24">
        <f>IFERROR(G7-G9-G10,0)</f>
        <v/>
      </c>
      <c r="H13" s="22">
        <f>IFERROR(G13/G$5,0)</f>
        <v/>
      </c>
      <c r="I13" s="22">
        <f>IFERROR((G13-D13)/D13,0)</f>
        <v/>
      </c>
      <c r="J13" s="23">
        <f>IFERROR(AVERAGE(B13,D13,G13),0)</f>
        <v/>
      </c>
    </row>
    <row r="14">
      <c r="A14" s="9" t="inlineStr">
        <is>
          <t>(=) UTILIDAD OPERATIVA (EBIT)</t>
        </is>
      </c>
      <c r="B14" s="24">
        <f>IFERROR(B13-B11-B12,0)</f>
        <v/>
      </c>
      <c r="C14" s="22">
        <f>IFERROR(B14/B$5,0)</f>
        <v/>
      </c>
      <c r="D14" s="24">
        <f>IFERROR(D13-D11-D12,0)</f>
        <v/>
      </c>
      <c r="E14" s="22">
        <f>IFERROR(D14/D$5,0)</f>
        <v/>
      </c>
      <c r="F14" s="22">
        <f>IFERROR((D14-B14)/B14,0)</f>
        <v/>
      </c>
      <c r="G14" s="24">
        <f>IFERROR(G13-G11-G12,0)</f>
        <v/>
      </c>
      <c r="H14" s="22">
        <f>IFERROR(G14/G$5,0)</f>
        <v/>
      </c>
      <c r="I14" s="22">
        <f>IFERROR((G14-D14)/D14,0)</f>
        <v/>
      </c>
      <c r="J14" s="23">
        <f>IFERROR(AVERAGE(B14,D14,G14),0)</f>
        <v/>
      </c>
    </row>
    <row r="15">
      <c r="B15" s="23" t="n"/>
      <c r="C15" s="22">
        <f>IFERROR(B15/B$5,0)</f>
        <v/>
      </c>
      <c r="D15" s="23" t="n"/>
      <c r="E15" s="22">
        <f>IFERROR(D15/D$5,0)</f>
        <v/>
      </c>
      <c r="F15" s="22">
        <f>IFERROR((D15-B15)/B15,0)</f>
        <v/>
      </c>
      <c r="G15" s="23" t="n"/>
      <c r="H15" s="22">
        <f>IFERROR(G15/G$5,0)</f>
        <v/>
      </c>
      <c r="I15" s="22">
        <f>IFERROR((G15-D15)/D15,0)</f>
        <v/>
      </c>
      <c r="J15" s="23">
        <f>IFERROR(AVERAGE(B15,D15,G15),0)</f>
        <v/>
      </c>
    </row>
    <row r="16">
      <c r="A16" s="4" t="inlineStr">
        <is>
          <t>(+) Otros Ingresos</t>
        </is>
      </c>
      <c r="B16" s="21" t="n">
        <v>200</v>
      </c>
      <c r="C16" s="22">
        <f>IFERROR(B16/B$5,0)</f>
        <v/>
      </c>
      <c r="D16" s="21" t="n">
        <v>250</v>
      </c>
      <c r="E16" s="22">
        <f>IFERROR(D16/D$5,0)</f>
        <v/>
      </c>
      <c r="F16" s="22">
        <f>IFERROR((D16-B16)/B16,0)</f>
        <v/>
      </c>
      <c r="G16" s="21" t="n">
        <v>300</v>
      </c>
      <c r="H16" s="22">
        <f>IFERROR(G16/G$5,0)</f>
        <v/>
      </c>
      <c r="I16" s="22">
        <f>IFERROR((G16-D16)/D16,0)</f>
        <v/>
      </c>
      <c r="J16" s="23">
        <f>IFERROR(AVERAGE(B16,D16,G16),0)</f>
        <v/>
      </c>
    </row>
    <row r="17">
      <c r="A17" s="4" t="inlineStr">
        <is>
          <t>(-) Otros Gastos</t>
        </is>
      </c>
      <c r="B17" s="21" t="n">
        <v>150</v>
      </c>
      <c r="C17" s="22">
        <f>IFERROR(B17/B$5,0)</f>
        <v/>
      </c>
      <c r="D17" s="21" t="n">
        <v>180</v>
      </c>
      <c r="E17" s="22">
        <f>IFERROR(D17/D$5,0)</f>
        <v/>
      </c>
      <c r="F17" s="22">
        <f>IFERROR((D17-B17)/B17,0)</f>
        <v/>
      </c>
      <c r="G17" s="21" t="n">
        <v>200</v>
      </c>
      <c r="H17" s="22">
        <f>IFERROR(G17/G$5,0)</f>
        <v/>
      </c>
      <c r="I17" s="22">
        <f>IFERROR((G17-D17)/D17,0)</f>
        <v/>
      </c>
      <c r="J17" s="23">
        <f>IFERROR(AVERAGE(B17,D17,G17),0)</f>
        <v/>
      </c>
    </row>
    <row r="18">
      <c r="A18" s="4" t="inlineStr">
        <is>
          <t>(-) Gastos Financieros</t>
        </is>
      </c>
      <c r="B18" s="21" t="n">
        <v>300</v>
      </c>
      <c r="C18" s="22">
        <f>IFERROR(B18/B$5,0)</f>
        <v/>
      </c>
      <c r="D18" s="21" t="n">
        <v>350</v>
      </c>
      <c r="E18" s="22">
        <f>IFERROR(D18/D$5,0)</f>
        <v/>
      </c>
      <c r="F18" s="22">
        <f>IFERROR((D18-B18)/B18,0)</f>
        <v/>
      </c>
      <c r="G18" s="21" t="n">
        <v>400</v>
      </c>
      <c r="H18" s="22">
        <f>IFERROR(G18/G$5,0)</f>
        <v/>
      </c>
      <c r="I18" s="22">
        <f>IFERROR((G18-D18)/D18,0)</f>
        <v/>
      </c>
      <c r="J18" s="23">
        <f>IFERROR(AVERAGE(B18,D18,G18),0)</f>
        <v/>
      </c>
    </row>
    <row r="19">
      <c r="A19" s="9" t="inlineStr">
        <is>
          <t>(=) UTILIDAD ANTES DE IMPUESTOS (UAI)</t>
        </is>
      </c>
      <c r="B19" s="24">
        <f>IFERROR(B14+B16-B17-B18,0)</f>
        <v/>
      </c>
      <c r="C19" s="22">
        <f>IFERROR(B19/B$5,0)</f>
        <v/>
      </c>
      <c r="D19" s="24">
        <f>IFERROR(D14+D16-D17-D18,0)</f>
        <v/>
      </c>
      <c r="E19" s="22">
        <f>IFERROR(D19/D$5,0)</f>
        <v/>
      </c>
      <c r="F19" s="22">
        <f>IFERROR((D19-B19)/B19,0)</f>
        <v/>
      </c>
      <c r="G19" s="24">
        <f>IFERROR(G14+G16-G17-G18,0)</f>
        <v/>
      </c>
      <c r="H19" s="22">
        <f>IFERROR(G19/G$5,0)</f>
        <v/>
      </c>
      <c r="I19" s="22">
        <f>IFERROR((G19-D19)/D19,0)</f>
        <v/>
      </c>
      <c r="J19" s="23">
        <f>IFERROR(AVERAGE(B19,D19,G19),0)</f>
        <v/>
      </c>
    </row>
    <row r="20">
      <c r="B20" s="23" t="n"/>
      <c r="C20" s="22">
        <f>IFERROR(B20/B$5,0)</f>
        <v/>
      </c>
      <c r="D20" s="23" t="n"/>
      <c r="E20" s="22">
        <f>IFERROR(D20/D$5,0)</f>
        <v/>
      </c>
      <c r="F20" s="22">
        <f>IFERROR((D20-B20)/B20,0)</f>
        <v/>
      </c>
      <c r="G20" s="23" t="n"/>
      <c r="H20" s="22">
        <f>IFERROR(G20/G$5,0)</f>
        <v/>
      </c>
      <c r="I20" s="22">
        <f>IFERROR((G20-D20)/D20,0)</f>
        <v/>
      </c>
      <c r="J20" s="23">
        <f>IFERROR(AVERAGE(B20,D20,G20),0)</f>
        <v/>
      </c>
    </row>
    <row r="21">
      <c r="A21" s="9" t="inlineStr">
        <is>
          <t>(-) Impuesto de Renta</t>
        </is>
      </c>
      <c r="B21" s="25">
        <f>IFERROR(B19*0.35,0)</f>
        <v/>
      </c>
      <c r="C21" s="22">
        <f>IFERROR(B21/B$5,0)</f>
        <v/>
      </c>
      <c r="D21" s="24">
        <f>IFERROR(D19*0.35,0)</f>
        <v/>
      </c>
      <c r="E21" s="22">
        <f>IFERROR(D21/D$5,0)</f>
        <v/>
      </c>
      <c r="F21" s="22">
        <f>IFERROR((D21-B21)/B21,0)</f>
        <v/>
      </c>
      <c r="G21" s="24">
        <f>IFERROR(G19*0.35,0)</f>
        <v/>
      </c>
      <c r="H21" s="22">
        <f>IFERROR(G21/G$5,0)</f>
        <v/>
      </c>
      <c r="I21" s="22">
        <f>IFERROR((G21-D21)/D21,0)</f>
        <v/>
      </c>
      <c r="J21" s="23">
        <f>IFERROR(AVERAGE(B21,D21,G21),0)</f>
        <v/>
      </c>
    </row>
    <row r="22">
      <c r="A22" s="9" t="inlineStr">
        <is>
          <t>(=) UTILIDAD NETA</t>
        </is>
      </c>
      <c r="B22" s="24">
        <f>IFERROR(B19-B21,0)</f>
        <v/>
      </c>
      <c r="C22" s="22">
        <f>IFERROR(B22/B$5,0)</f>
        <v/>
      </c>
      <c r="D22" s="24">
        <f>IFERROR(D19-D21,0)</f>
        <v/>
      </c>
      <c r="E22" s="22">
        <f>IFERROR(D22/D$5,0)</f>
        <v/>
      </c>
      <c r="F22" s="22">
        <f>IFERROR((D22-B22)/B22,0)</f>
        <v/>
      </c>
      <c r="G22" s="24">
        <f>IFERROR(G19-G21,0)</f>
        <v/>
      </c>
      <c r="H22" s="22">
        <f>IFERROR(G22/G$5,0)</f>
        <v/>
      </c>
      <c r="I22" s="22">
        <f>IFERROR((G22-D22)/D22,0)</f>
        <v/>
      </c>
      <c r="J22" s="23">
        <f>IFERROR(AVERAGE(B22,D22,G22),0)</f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0" customWidth="1" min="3" max="3"/>
    <col width="15" customWidth="1" min="4" max="4"/>
    <col width="10" customWidth="1" min="5" max="5"/>
    <col width="10" customWidth="1" min="6" max="6"/>
    <col width="15" customWidth="1" min="7" max="7"/>
    <col width="10" customWidth="1" min="8" max="8"/>
    <col width="10" customWidth="1" min="9" max="9"/>
  </cols>
  <sheetData>
    <row r="1">
      <c r="A1" s="1" t="inlineStr">
        <is>
          <t>ESTADO DE SITUACIÓN FINANCIERA (BALANCE GENERAL)</t>
        </is>
      </c>
    </row>
    <row r="4">
      <c r="A4" s="8" t="inlineStr">
        <is>
          <t>CONCEPTO</t>
        </is>
      </c>
      <c r="B4" s="8" t="inlineStr">
        <is>
          <t>Año 2022</t>
        </is>
      </c>
      <c r="C4" s="8" t="inlineStr">
        <is>
          <t>AV%</t>
        </is>
      </c>
      <c r="D4" s="8" t="inlineStr">
        <is>
          <t>Año 2023</t>
        </is>
      </c>
      <c r="E4" s="8" t="inlineStr">
        <is>
          <t>AV%</t>
        </is>
      </c>
      <c r="F4" s="8" t="inlineStr">
        <is>
          <t>AH%</t>
        </is>
      </c>
      <c r="G4" s="8" t="inlineStr">
        <is>
          <t>Año 2024</t>
        </is>
      </c>
      <c r="H4" s="8" t="inlineStr">
        <is>
          <t>AV%</t>
        </is>
      </c>
      <c r="I4" s="8" t="inlineStr">
        <is>
          <t>AH%</t>
        </is>
      </c>
    </row>
    <row r="5">
      <c r="A5" s="10" t="inlineStr">
        <is>
          <t>ACTIVOS</t>
        </is>
      </c>
    </row>
    <row r="7">
      <c r="A7" s="11" t="inlineStr">
        <is>
          <t>ACTIVOS CORRIENTES:</t>
        </is>
      </c>
    </row>
    <row r="8">
      <c r="A8" t="inlineStr">
        <is>
          <t>Efectivo y Equivalentes</t>
        </is>
      </c>
      <c r="B8" s="5" t="n">
        <v>3000</v>
      </c>
      <c r="C8" s="22">
        <f>IFERROR(B8/B$23,0)</f>
        <v/>
      </c>
      <c r="D8" s="5" t="n">
        <v>3300</v>
      </c>
      <c r="E8" s="22">
        <f>IFERROR(D8/D$23,0)</f>
        <v/>
      </c>
      <c r="F8" s="22">
        <f>IFERROR((D8-B8)/B8,0)</f>
        <v/>
      </c>
      <c r="G8" s="5" t="n">
        <v>3696.000000000001</v>
      </c>
      <c r="H8" s="22">
        <f>IFERROR(G8/G$23,0)</f>
        <v/>
      </c>
      <c r="I8" s="22">
        <f>IFERROR((G8-D8)/D8,0)</f>
        <v/>
      </c>
    </row>
    <row r="9">
      <c r="A9" t="inlineStr">
        <is>
          <t>Cuentas por Cobrar Comerciales (Clientes)</t>
        </is>
      </c>
      <c r="B9" s="5" t="n">
        <v>2500</v>
      </c>
      <c r="C9" s="22">
        <f>IFERROR(B9/B$23,0)</f>
        <v/>
      </c>
      <c r="D9" s="5" t="n">
        <v>2750</v>
      </c>
      <c r="E9" s="22">
        <f>IFERROR(D9/D$23,0)</f>
        <v/>
      </c>
      <c r="F9" s="22">
        <f>IFERROR((D9-B9)/B9,0)</f>
        <v/>
      </c>
      <c r="G9" s="5" t="n">
        <v>3080</v>
      </c>
      <c r="H9" s="22">
        <f>IFERROR(G9/G$23,0)</f>
        <v/>
      </c>
      <c r="I9" s="22">
        <f>IFERROR((G9-D9)/D9,0)</f>
        <v/>
      </c>
    </row>
    <row r="10">
      <c r="A10" t="inlineStr">
        <is>
          <t>Cuentas por Cobrar a Socios/Accionistas</t>
        </is>
      </c>
      <c r="B10" s="5" t="n">
        <v>500</v>
      </c>
      <c r="C10" s="22">
        <f>IFERROR(B10/B$23,0)</f>
        <v/>
      </c>
      <c r="D10" s="5" t="n">
        <v>550</v>
      </c>
      <c r="E10" s="22">
        <f>IFERROR(D10/D$23,0)</f>
        <v/>
      </c>
      <c r="F10" s="22">
        <f>IFERROR((D10-B10)/B10,0)</f>
        <v/>
      </c>
      <c r="G10" s="5" t="n">
        <v>616.0000000000001</v>
      </c>
      <c r="H10" s="22">
        <f>IFERROR(G10/G$23,0)</f>
        <v/>
      </c>
      <c r="I10" s="22">
        <f>IFERROR((G10-D10)/D10,0)</f>
        <v/>
      </c>
    </row>
    <row r="11">
      <c r="A11" t="inlineStr">
        <is>
          <t>Inventarios</t>
        </is>
      </c>
      <c r="B11" s="5" t="n">
        <v>2000</v>
      </c>
      <c r="C11" s="22">
        <f>IFERROR(B11/B$23,0)</f>
        <v/>
      </c>
      <c r="D11" s="5" t="n">
        <v>2200</v>
      </c>
      <c r="E11" s="22">
        <f>IFERROR(D11/D$23,0)</f>
        <v/>
      </c>
      <c r="F11" s="22">
        <f>IFERROR((D11-B11)/B11,0)</f>
        <v/>
      </c>
      <c r="G11" s="5" t="n">
        <v>2464</v>
      </c>
      <c r="H11" s="22">
        <f>IFERROR(G11/G$23,0)</f>
        <v/>
      </c>
      <c r="I11" s="22">
        <f>IFERROR((G11-D11)/D11,0)</f>
        <v/>
      </c>
    </row>
    <row r="12">
      <c r="A12" t="inlineStr">
        <is>
          <t>Activos por Impuestos Corrientes</t>
        </is>
      </c>
      <c r="B12" s="5" t="n">
        <v>300</v>
      </c>
      <c r="C12" s="22">
        <f>IFERROR(B12/B$23,0)</f>
        <v/>
      </c>
      <c r="D12" s="5" t="n">
        <v>330</v>
      </c>
      <c r="E12" s="22">
        <f>IFERROR(D12/D$23,0)</f>
        <v/>
      </c>
      <c r="F12" s="22">
        <f>IFERROR((D12-B12)/B12,0)</f>
        <v/>
      </c>
      <c r="G12" s="5" t="n">
        <v>369.6</v>
      </c>
      <c r="H12" s="22">
        <f>IFERROR(G12/G$23,0)</f>
        <v/>
      </c>
      <c r="I12" s="22">
        <f>IFERROR((G12-D12)/D12,0)</f>
        <v/>
      </c>
    </row>
    <row r="13">
      <c r="A13" t="inlineStr">
        <is>
          <t>Otros Activos Corrientes</t>
        </is>
      </c>
      <c r="B13" s="5" t="n">
        <v>200</v>
      </c>
      <c r="C13" s="22">
        <f>IFERROR(B13/B$23,0)</f>
        <v/>
      </c>
      <c r="D13" s="5" t="n">
        <v>220</v>
      </c>
      <c r="E13" s="22">
        <f>IFERROR(D13/D$23,0)</f>
        <v/>
      </c>
      <c r="F13" s="22">
        <f>IFERROR((D13-B13)/B13,0)</f>
        <v/>
      </c>
      <c r="G13" s="5" t="n">
        <v>246.4000000000001</v>
      </c>
      <c r="H13" s="22">
        <f>IFERROR(G13/G$23,0)</f>
        <v/>
      </c>
      <c r="I13" s="22">
        <f>IFERROR((G13-D13)/D13,0)</f>
        <v/>
      </c>
    </row>
    <row r="14">
      <c r="A14" s="9" t="inlineStr">
        <is>
          <t>TOTAL ACTIVOS CORRIENTES</t>
        </is>
      </c>
      <c r="B14" s="26">
        <f>IFERROR(SUM(B8:B13),0)</f>
        <v/>
      </c>
      <c r="C14" s="22">
        <f>IFERROR(B14/B$23,0)</f>
        <v/>
      </c>
      <c r="D14" s="26">
        <f>IFERROR(SUM(D8:D13),0)</f>
        <v/>
      </c>
      <c r="E14" s="22">
        <f>IFERROR(D14/D$23,0)</f>
        <v/>
      </c>
      <c r="F14" s="22">
        <f>IFERROR((D14-B14)/B14,0)</f>
        <v/>
      </c>
      <c r="G14" s="26">
        <f>IFERROR(SUM(G8:G13),0)</f>
        <v/>
      </c>
      <c r="H14" s="22">
        <f>IFERROR(G14/G$23,0)</f>
        <v/>
      </c>
      <c r="I14" s="22">
        <f>IFERROR((G14-D14)/D14,0)</f>
        <v/>
      </c>
    </row>
    <row r="15">
      <c r="C15" s="22">
        <f>IFERROR(B15/B$23,0)</f>
        <v/>
      </c>
      <c r="E15" s="22">
        <f>IFERROR(D15/D$23,0)</f>
        <v/>
      </c>
      <c r="F15" s="22">
        <f>IFERROR((D15-B15)/B15,0)</f>
        <v/>
      </c>
      <c r="H15" s="22">
        <f>IFERROR(G15/G$23,0)</f>
        <v/>
      </c>
      <c r="I15" s="22">
        <f>IFERROR((G15-D15)/D15,0)</f>
        <v/>
      </c>
    </row>
    <row r="16">
      <c r="A16" s="11" t="inlineStr">
        <is>
          <t>ACTIVOS NO CORRIENTES:</t>
        </is>
      </c>
      <c r="C16" s="22">
        <f>IFERROR(B16/B$23,0)</f>
        <v/>
      </c>
      <c r="E16" s="22">
        <f>IFERROR(D16/D$23,0)</f>
        <v/>
      </c>
      <c r="F16" s="22">
        <f>IFERROR((D16-B16)/B16,0)</f>
        <v/>
      </c>
      <c r="H16" s="22">
        <f>IFERROR(G16/G$23,0)</f>
        <v/>
      </c>
      <c r="I16" s="22">
        <f>IFERROR((G16-D16)/D16,0)</f>
        <v/>
      </c>
    </row>
    <row r="17">
      <c r="A17" t="inlineStr">
        <is>
          <t>Propiedades, Planta y Equipo (neto)</t>
        </is>
      </c>
      <c r="B17" s="5" t="n">
        <v>8000</v>
      </c>
      <c r="C17" s="22">
        <f>IFERROR(B17/B$23,0)</f>
        <v/>
      </c>
      <c r="D17" s="5" t="n">
        <v>8800</v>
      </c>
      <c r="E17" s="22">
        <f>IFERROR(D17/D$23,0)</f>
        <v/>
      </c>
      <c r="F17" s="22">
        <f>IFERROR((D17-B17)/B17,0)</f>
        <v/>
      </c>
      <c r="G17" s="5" t="n">
        <v>9856.000000000002</v>
      </c>
      <c r="H17" s="22">
        <f>IFERROR(G17/G$23,0)</f>
        <v/>
      </c>
      <c r="I17" s="22">
        <f>IFERROR((G17-D17)/D17,0)</f>
        <v/>
      </c>
    </row>
    <row r="18">
      <c r="A18" t="inlineStr">
        <is>
          <t>Propiedades de Inversión</t>
        </is>
      </c>
      <c r="B18" s="5" t="n">
        <v>1000</v>
      </c>
      <c r="C18" s="22">
        <f>IFERROR(B18/B$23,0)</f>
        <v/>
      </c>
      <c r="D18" s="5" t="n">
        <v>1100</v>
      </c>
      <c r="E18" s="22">
        <f>IFERROR(D18/D$23,0)</f>
        <v/>
      </c>
      <c r="F18" s="22">
        <f>IFERROR((D18-B18)/B18,0)</f>
        <v/>
      </c>
      <c r="G18" s="5" t="n">
        <v>1232</v>
      </c>
      <c r="H18" s="22">
        <f>IFERROR(G18/G$23,0)</f>
        <v/>
      </c>
      <c r="I18" s="22">
        <f>IFERROR((G18-D18)/D18,0)</f>
        <v/>
      </c>
    </row>
    <row r="19">
      <c r="A19" t="inlineStr">
        <is>
          <t>Intangibles</t>
        </is>
      </c>
      <c r="B19" s="5" t="n">
        <v>500</v>
      </c>
      <c r="C19" s="22">
        <f>IFERROR(B19/B$23,0)</f>
        <v/>
      </c>
      <c r="D19" s="5" t="n">
        <v>550</v>
      </c>
      <c r="E19" s="22">
        <f>IFERROR(D19/D$23,0)</f>
        <v/>
      </c>
      <c r="F19" s="22">
        <f>IFERROR((D19-B19)/B19,0)</f>
        <v/>
      </c>
      <c r="G19" s="5" t="n">
        <v>616.0000000000001</v>
      </c>
      <c r="H19" s="22">
        <f>IFERROR(G19/G$23,0)</f>
        <v/>
      </c>
      <c r="I19" s="22">
        <f>IFERROR((G19-D19)/D19,0)</f>
        <v/>
      </c>
    </row>
    <row r="20">
      <c r="A20" t="inlineStr">
        <is>
          <t>Otros Activos No Corrientes</t>
        </is>
      </c>
      <c r="B20" s="5" t="n">
        <v>300</v>
      </c>
      <c r="C20" s="22">
        <f>IFERROR(B20/B$23,0)</f>
        <v/>
      </c>
      <c r="D20" s="5" t="n">
        <v>330</v>
      </c>
      <c r="E20" s="22">
        <f>IFERROR(D20/D$23,0)</f>
        <v/>
      </c>
      <c r="F20" s="22">
        <f>IFERROR((D20-B20)/B20,0)</f>
        <v/>
      </c>
      <c r="G20" s="5" t="n">
        <v>369.6</v>
      </c>
      <c r="H20" s="22">
        <f>IFERROR(G20/G$23,0)</f>
        <v/>
      </c>
      <c r="I20" s="22">
        <f>IFERROR((G20-D20)/D20,0)</f>
        <v/>
      </c>
    </row>
    <row r="21">
      <c r="A21" s="9" t="inlineStr">
        <is>
          <t>TOTAL ACTIVOS NO CORRIENTES</t>
        </is>
      </c>
      <c r="B21" s="26">
        <f>IFERROR(SUM(B17:B20),0)</f>
        <v/>
      </c>
      <c r="C21" s="22">
        <f>IFERROR(B21/B$23,0)</f>
        <v/>
      </c>
      <c r="D21" s="26">
        <f>IFERROR(SUM(D17:D20),0)</f>
        <v/>
      </c>
      <c r="E21" s="22">
        <f>IFERROR(D21/D$23,0)</f>
        <v/>
      </c>
      <c r="F21" s="22">
        <f>IFERROR((D21-B21)/B21,0)</f>
        <v/>
      </c>
      <c r="G21" s="26">
        <f>IFERROR(SUM(G17:G20),0)</f>
        <v/>
      </c>
      <c r="H21" s="22">
        <f>IFERROR(G21/G$23,0)</f>
        <v/>
      </c>
      <c r="I21" s="22">
        <f>IFERROR((G21-D21)/D21,0)</f>
        <v/>
      </c>
    </row>
    <row r="22">
      <c r="C22" s="22">
        <f>IFERROR(B22/B$23,0)</f>
        <v/>
      </c>
      <c r="E22" s="22">
        <f>IFERROR(D22/D$23,0)</f>
        <v/>
      </c>
      <c r="F22" s="22">
        <f>IFERROR((D22-B22)/B22,0)</f>
        <v/>
      </c>
      <c r="H22" s="22">
        <f>IFERROR(G22/G$23,0)</f>
        <v/>
      </c>
      <c r="I22" s="22">
        <f>IFERROR((G22-D22)/D22,0)</f>
        <v/>
      </c>
    </row>
    <row r="23">
      <c r="A23" s="9" t="inlineStr">
        <is>
          <t>TOTAL ACTIVOS</t>
        </is>
      </c>
      <c r="B23" s="27">
        <f>IFERROR(B14+B21,0)</f>
        <v/>
      </c>
      <c r="C23" s="22">
        <f>IFERROR(B23/B$23,0)</f>
        <v/>
      </c>
      <c r="D23" s="27">
        <f>IFERROR(D14+D21,0)</f>
        <v/>
      </c>
      <c r="E23" s="22">
        <f>IFERROR(D23/D$23,0)</f>
        <v/>
      </c>
      <c r="F23" s="22">
        <f>IFERROR((D23-B23)/B23,0)</f>
        <v/>
      </c>
      <c r="G23" s="27">
        <f>IFERROR(G14+G21,0)</f>
        <v/>
      </c>
      <c r="H23" s="22">
        <f>IFERROR(G23/G$23,0)</f>
        <v/>
      </c>
      <c r="I23" s="22">
        <f>IFERROR((G23-D23)/D23,0)</f>
        <v/>
      </c>
    </row>
    <row r="24">
      <c r="C24" s="22">
        <f>IFERROR(B24/B$23,0)</f>
        <v/>
      </c>
      <c r="E24" s="22">
        <f>IFERROR(D24/D$23,0)</f>
        <v/>
      </c>
      <c r="F24" s="22">
        <f>IFERROR((D24-B24)/B24,0)</f>
        <v/>
      </c>
      <c r="H24" s="22">
        <f>IFERROR(G24/G$23,0)</f>
        <v/>
      </c>
      <c r="I24" s="22">
        <f>IFERROR((G24-D24)/D24,0)</f>
        <v/>
      </c>
    </row>
    <row r="25">
      <c r="C25" s="22">
        <f>IFERROR(B25/B$23,0)</f>
        <v/>
      </c>
      <c r="E25" s="22">
        <f>IFERROR(D25/D$23,0)</f>
        <v/>
      </c>
      <c r="F25" s="22">
        <f>IFERROR((D25-B25)/B25,0)</f>
        <v/>
      </c>
      <c r="H25" s="22">
        <f>IFERROR(G25/G$23,0)</f>
        <v/>
      </c>
      <c r="I25" s="22">
        <f>IFERROR((G25-D25)/D25,0)</f>
        <v/>
      </c>
    </row>
    <row r="26">
      <c r="A26" s="10" t="inlineStr">
        <is>
          <t>PASIVOS</t>
        </is>
      </c>
      <c r="C26" s="22">
        <f>IFERROR(B26/B$23,0)</f>
        <v/>
      </c>
      <c r="E26" s="22">
        <f>IFERROR(D26/D$23,0)</f>
        <v/>
      </c>
      <c r="F26" s="22">
        <f>IFERROR((D26-B26)/B26,0)</f>
        <v/>
      </c>
      <c r="H26" s="22">
        <f>IFERROR(G26/G$23,0)</f>
        <v/>
      </c>
      <c r="I26" s="22">
        <f>IFERROR((G26-D26)/D26,0)</f>
        <v/>
      </c>
    </row>
    <row r="27">
      <c r="C27" s="22">
        <f>IFERROR(B27/B$23,0)</f>
        <v/>
      </c>
      <c r="E27" s="22">
        <f>IFERROR(D27/D$23,0)</f>
        <v/>
      </c>
      <c r="F27" s="22">
        <f>IFERROR((D27-B27)/B27,0)</f>
        <v/>
      </c>
      <c r="H27" s="22">
        <f>IFERROR(G27/G$23,0)</f>
        <v/>
      </c>
      <c r="I27" s="22">
        <f>IFERROR((G27-D27)/D27,0)</f>
        <v/>
      </c>
    </row>
    <row r="28">
      <c r="A28" s="11" t="inlineStr">
        <is>
          <t>PASIVOS CORRIENTES:</t>
        </is>
      </c>
      <c r="C28" s="22">
        <f>IFERROR(B28/B$23,0)</f>
        <v/>
      </c>
      <c r="E28" s="22">
        <f>IFERROR(D28/D$23,0)</f>
        <v/>
      </c>
      <c r="F28" s="22">
        <f>IFERROR((D28-B28)/B28,0)</f>
        <v/>
      </c>
      <c r="H28" s="22">
        <f>IFERROR(G28/G$23,0)</f>
        <v/>
      </c>
      <c r="I28" s="22">
        <f>IFERROR((G28-D28)/D28,0)</f>
        <v/>
      </c>
    </row>
    <row r="29">
      <c r="A29" t="inlineStr">
        <is>
          <t>Obligaciones Financieras Corto Plazo</t>
        </is>
      </c>
      <c r="B29" s="5" t="n">
        <v>1500</v>
      </c>
      <c r="C29" s="22">
        <f>IFERROR(B29/B$23,0)</f>
        <v/>
      </c>
      <c r="D29" s="5" t="n">
        <v>1650</v>
      </c>
      <c r="E29" s="22">
        <f>IFERROR(D29/D$23,0)</f>
        <v/>
      </c>
      <c r="F29" s="22">
        <f>IFERROR((D29-B29)/B29,0)</f>
        <v/>
      </c>
      <c r="G29" s="5" t="n">
        <v>1848</v>
      </c>
      <c r="H29" s="22">
        <f>IFERROR(G29/G$23,0)</f>
        <v/>
      </c>
      <c r="I29" s="22">
        <f>IFERROR((G29-D29)/D29,0)</f>
        <v/>
      </c>
    </row>
    <row r="30">
      <c r="A30" t="inlineStr">
        <is>
          <t>Cuentas por Pagar Comerciales (Proveedores)</t>
        </is>
      </c>
      <c r="B30" s="5" t="n">
        <v>1800</v>
      </c>
      <c r="C30" s="22">
        <f>IFERROR(B30/B$23,0)</f>
        <v/>
      </c>
      <c r="D30" s="5" t="n">
        <v>1980</v>
      </c>
      <c r="E30" s="22">
        <f>IFERROR(D30/D$23,0)</f>
        <v/>
      </c>
      <c r="F30" s="22">
        <f>IFERROR((D30-B30)/B30,0)</f>
        <v/>
      </c>
      <c r="G30" s="5" t="n">
        <v>2217.6</v>
      </c>
      <c r="H30" s="22">
        <f>IFERROR(G30/G$23,0)</f>
        <v/>
      </c>
      <c r="I30" s="22">
        <f>IFERROR((G30-D30)/D30,0)</f>
        <v/>
      </c>
    </row>
    <row r="31">
      <c r="A31" t="inlineStr">
        <is>
          <t>Otras Cuentas por Pagar (Costos y Gastos)</t>
        </is>
      </c>
      <c r="B31" s="5" t="n">
        <v>600</v>
      </c>
      <c r="C31" s="22">
        <f>IFERROR(B31/B$23,0)</f>
        <v/>
      </c>
      <c r="D31" s="5" t="n">
        <v>660</v>
      </c>
      <c r="E31" s="22">
        <f>IFERROR(D31/D$23,0)</f>
        <v/>
      </c>
      <c r="F31" s="22">
        <f>IFERROR((D31-B31)/B31,0)</f>
        <v/>
      </c>
      <c r="G31" s="5" t="n">
        <v>739.2</v>
      </c>
      <c r="H31" s="22">
        <f>IFERROR(G31/G$23,0)</f>
        <v/>
      </c>
      <c r="I31" s="22">
        <f>IFERROR((G31-D31)/D31,0)</f>
        <v/>
      </c>
    </row>
    <row r="32">
      <c r="A32" t="inlineStr">
        <is>
          <t>Pasivos Estimados y Provisiones</t>
        </is>
      </c>
      <c r="B32" s="5" t="n">
        <v>200</v>
      </c>
      <c r="C32" s="22">
        <f>IFERROR(B32/B$23,0)</f>
        <v/>
      </c>
      <c r="D32" s="5" t="n">
        <v>220</v>
      </c>
      <c r="E32" s="22">
        <f>IFERROR(D32/D$23,0)</f>
        <v/>
      </c>
      <c r="F32" s="22">
        <f>IFERROR((D32-B32)/B32,0)</f>
        <v/>
      </c>
      <c r="G32" s="5" t="n">
        <v>246.4000000000001</v>
      </c>
      <c r="H32" s="22">
        <f>IFERROR(G32/G$23,0)</f>
        <v/>
      </c>
      <c r="I32" s="22">
        <f>IFERROR((G32-D32)/D32,0)</f>
        <v/>
      </c>
    </row>
    <row r="33">
      <c r="A33" t="inlineStr">
        <is>
          <t>Dividendos por Pagar</t>
        </is>
      </c>
      <c r="B33" s="5" t="n">
        <v>0</v>
      </c>
      <c r="C33" s="22">
        <f>IFERROR(B33/B$23,0)</f>
        <v/>
      </c>
      <c r="D33" s="5" t="n"/>
      <c r="E33" s="22">
        <f>IFERROR(D33/D$23,0)</f>
        <v/>
      </c>
      <c r="F33" s="22">
        <f>IFERROR((D33-B33)/B33,0)</f>
        <v/>
      </c>
      <c r="G33" s="5" t="n"/>
      <c r="H33" s="22">
        <f>IFERROR(G33/G$23,0)</f>
        <v/>
      </c>
      <c r="I33" s="22">
        <f>IFERROR((G33-D33)/D33,0)</f>
        <v/>
      </c>
    </row>
    <row r="34">
      <c r="A34" t="inlineStr">
        <is>
          <t>Impuestos Corrientes por Pagar</t>
        </is>
      </c>
      <c r="B34" s="5" t="n">
        <v>150</v>
      </c>
      <c r="C34" s="22">
        <f>IFERROR(B34/B$23,0)</f>
        <v/>
      </c>
      <c r="D34" s="5" t="n">
        <v>165</v>
      </c>
      <c r="E34" s="22">
        <f>IFERROR(D34/D$23,0)</f>
        <v/>
      </c>
      <c r="F34" s="22">
        <f>IFERROR((D34-B34)/B34,0)</f>
        <v/>
      </c>
      <c r="G34" s="5" t="n">
        <v>184.8</v>
      </c>
      <c r="H34" s="22">
        <f>IFERROR(G34/G$23,0)</f>
        <v/>
      </c>
      <c r="I34" s="22">
        <f>IFERROR((G34-D34)/D34,0)</f>
        <v/>
      </c>
    </row>
    <row r="35">
      <c r="A35" t="inlineStr">
        <is>
          <t>Beneficios a Empleados</t>
        </is>
      </c>
      <c r="B35" s="5" t="n">
        <v>400</v>
      </c>
      <c r="C35" s="22">
        <f>IFERROR(B35/B$23,0)</f>
        <v/>
      </c>
      <c r="D35" s="5" t="n">
        <v>440.0000000000001</v>
      </c>
      <c r="E35" s="22">
        <f>IFERROR(D35/D$23,0)</f>
        <v/>
      </c>
      <c r="F35" s="22">
        <f>IFERROR((D35-B35)/B35,0)</f>
        <v/>
      </c>
      <c r="G35" s="5" t="n">
        <v>492.8000000000001</v>
      </c>
      <c r="H35" s="22">
        <f>IFERROR(G35/G$23,0)</f>
        <v/>
      </c>
      <c r="I35" s="22">
        <f>IFERROR((G35-D35)/D35,0)</f>
        <v/>
      </c>
    </row>
    <row r="36">
      <c r="A36" t="inlineStr">
        <is>
          <t>Otros Pasivos Corrientes</t>
        </is>
      </c>
      <c r="B36" s="5" t="n">
        <v>100</v>
      </c>
      <c r="C36" s="22">
        <f>IFERROR(B36/B$23,0)</f>
        <v/>
      </c>
      <c r="D36" s="5" t="n">
        <v>110</v>
      </c>
      <c r="E36" s="22">
        <f>IFERROR(D36/D$23,0)</f>
        <v/>
      </c>
      <c r="F36" s="22">
        <f>IFERROR((D36-B36)/B36,0)</f>
        <v/>
      </c>
      <c r="G36" s="5" t="n">
        <v>123.2</v>
      </c>
      <c r="H36" s="22">
        <f>IFERROR(G36/G$23,0)</f>
        <v/>
      </c>
      <c r="I36" s="22">
        <f>IFERROR((G36-D36)/D36,0)</f>
        <v/>
      </c>
    </row>
    <row r="37">
      <c r="A37" s="9" t="inlineStr">
        <is>
          <t>TOTAL PASIVOS CORRIENTES</t>
        </is>
      </c>
      <c r="B37" s="26">
        <f>IFERROR(SUM(B29:B36),0)</f>
        <v/>
      </c>
      <c r="C37" s="22">
        <f>IFERROR(B37/B$23,0)</f>
        <v/>
      </c>
      <c r="D37" s="26">
        <f>IFERROR(SUM(D29:D36),0)</f>
        <v/>
      </c>
      <c r="E37" s="22">
        <f>IFERROR(D37/D$23,0)</f>
        <v/>
      </c>
      <c r="F37" s="22">
        <f>IFERROR((D37-B37)/B37,0)</f>
        <v/>
      </c>
      <c r="G37" s="26">
        <f>IFERROR(SUM(G29:G36),0)</f>
        <v/>
      </c>
      <c r="H37" s="22">
        <f>IFERROR(G37/G$23,0)</f>
        <v/>
      </c>
      <c r="I37" s="22">
        <f>IFERROR((G37-D37)/D37,0)</f>
        <v/>
      </c>
    </row>
    <row r="38">
      <c r="C38" s="22">
        <f>IFERROR(B38/B$23,0)</f>
        <v/>
      </c>
      <c r="E38" s="22">
        <f>IFERROR(D38/D$23,0)</f>
        <v/>
      </c>
      <c r="F38" s="22">
        <f>IFERROR((D38-B38)/B38,0)</f>
        <v/>
      </c>
      <c r="H38" s="22">
        <f>IFERROR(G38/G$23,0)</f>
        <v/>
      </c>
      <c r="I38" s="22">
        <f>IFERROR((G38-D38)/D38,0)</f>
        <v/>
      </c>
    </row>
    <row r="39">
      <c r="A39" s="11" t="inlineStr">
        <is>
          <t>PASIVOS NO CORRIENTES:</t>
        </is>
      </c>
      <c r="C39" s="22">
        <f>IFERROR(B39/B$23,0)</f>
        <v/>
      </c>
      <c r="E39" s="22">
        <f>IFERROR(D39/D$23,0)</f>
        <v/>
      </c>
      <c r="F39" s="22">
        <f>IFERROR((D39-B39)/B39,0)</f>
        <v/>
      </c>
      <c r="H39" s="22">
        <f>IFERROR(G39/G$23,0)</f>
        <v/>
      </c>
      <c r="I39" s="22">
        <f>IFERROR((G39-D39)/D39,0)</f>
        <v/>
      </c>
    </row>
    <row r="40">
      <c r="A40" t="inlineStr">
        <is>
          <t>Obligaciones Financieras Largo Plazo</t>
        </is>
      </c>
      <c r="B40" s="5" t="n">
        <v>3000</v>
      </c>
      <c r="C40" s="22">
        <f>IFERROR(B40/B$23,0)</f>
        <v/>
      </c>
      <c r="D40" s="5" t="n">
        <v>3300</v>
      </c>
      <c r="E40" s="22">
        <f>IFERROR(D40/D$23,0)</f>
        <v/>
      </c>
      <c r="F40" s="22">
        <f>IFERROR((D40-B40)/B40,0)</f>
        <v/>
      </c>
      <c r="G40" s="5" t="n">
        <v>3696.000000000001</v>
      </c>
      <c r="H40" s="22">
        <f>IFERROR(G40/G$23,0)</f>
        <v/>
      </c>
      <c r="I40" s="22">
        <f>IFERROR((G40-D40)/D40,0)</f>
        <v/>
      </c>
    </row>
    <row r="41">
      <c r="A41" t="inlineStr">
        <is>
          <t>Cuentas por Pagar Largo Plazo</t>
        </is>
      </c>
      <c r="B41" s="5" t="n">
        <v>500</v>
      </c>
      <c r="C41" s="22">
        <f>IFERROR(B41/B$23,0)</f>
        <v/>
      </c>
      <c r="D41" s="5" t="n">
        <v>550</v>
      </c>
      <c r="E41" s="22">
        <f>IFERROR(D41/D$23,0)</f>
        <v/>
      </c>
      <c r="F41" s="22">
        <f>IFERROR((D41-B41)/B41,0)</f>
        <v/>
      </c>
      <c r="G41" s="5" t="n">
        <v>616.0000000000001</v>
      </c>
      <c r="H41" s="22">
        <f>IFERROR(G41/G$23,0)</f>
        <v/>
      </c>
      <c r="I41" s="22">
        <f>IFERROR((G41-D41)/D41,0)</f>
        <v/>
      </c>
    </row>
    <row r="42">
      <c r="A42" t="inlineStr">
        <is>
          <t>Otros Pasivos No Corrientes</t>
        </is>
      </c>
      <c r="B42" s="5" t="n">
        <v>200</v>
      </c>
      <c r="C42" s="22">
        <f>IFERROR(B42/B$23,0)</f>
        <v/>
      </c>
      <c r="D42" s="5" t="n">
        <v>220</v>
      </c>
      <c r="E42" s="22">
        <f>IFERROR(D42/D$23,0)</f>
        <v/>
      </c>
      <c r="F42" s="22">
        <f>IFERROR((D42-B42)/B42,0)</f>
        <v/>
      </c>
      <c r="G42" s="5" t="n">
        <v>246.4000000000001</v>
      </c>
      <c r="H42" s="22">
        <f>IFERROR(G42/G$23,0)</f>
        <v/>
      </c>
      <c r="I42" s="22">
        <f>IFERROR((G42-D42)/D42,0)</f>
        <v/>
      </c>
    </row>
    <row r="43">
      <c r="A43" s="9" t="inlineStr">
        <is>
          <t>TOTAL PASIVOS NO CORRIENTES</t>
        </is>
      </c>
      <c r="B43" s="26">
        <f>IFERROR(SUM(B40:B42),0)</f>
        <v/>
      </c>
      <c r="C43" s="22">
        <f>IFERROR(B43/B$23,0)</f>
        <v/>
      </c>
      <c r="D43" s="26">
        <f>IFERROR(SUM(D40:D42),0)</f>
        <v/>
      </c>
      <c r="E43" s="22">
        <f>IFERROR(D43/D$23,0)</f>
        <v/>
      </c>
      <c r="F43" s="22">
        <f>IFERROR((D43-B43)/B43,0)</f>
        <v/>
      </c>
      <c r="G43" s="26">
        <f>IFERROR(SUM(G40:G42),0)</f>
        <v/>
      </c>
      <c r="H43" s="22">
        <f>IFERROR(G43/G$23,0)</f>
        <v/>
      </c>
      <c r="I43" s="22">
        <f>IFERROR((G43-D43)/D43,0)</f>
        <v/>
      </c>
    </row>
    <row r="44">
      <c r="C44" s="22">
        <f>IFERROR(B44/B$23,0)</f>
        <v/>
      </c>
      <c r="E44" s="22">
        <f>IFERROR(D44/D$23,0)</f>
        <v/>
      </c>
      <c r="F44" s="22">
        <f>IFERROR((D44-B44)/B44,0)</f>
        <v/>
      </c>
      <c r="H44" s="22">
        <f>IFERROR(G44/G$23,0)</f>
        <v/>
      </c>
      <c r="I44" s="22">
        <f>IFERROR((G44-D44)/D44,0)</f>
        <v/>
      </c>
    </row>
    <row r="45">
      <c r="A45" s="9" t="inlineStr">
        <is>
          <t>TOTAL PASIVOS</t>
        </is>
      </c>
      <c r="B45" s="27">
        <f>IFERROR(B37+B43,0)</f>
        <v/>
      </c>
      <c r="C45" s="22">
        <f>IFERROR(B45/B$23,0)</f>
        <v/>
      </c>
      <c r="D45" s="27">
        <f>IFERROR(D37+D43,0)</f>
        <v/>
      </c>
      <c r="E45" s="22">
        <f>IFERROR(D45/D$23,0)</f>
        <v/>
      </c>
      <c r="F45" s="22">
        <f>IFERROR((D45-B45)/B45,0)</f>
        <v/>
      </c>
      <c r="G45" s="27">
        <f>IFERROR(G37+G43,0)</f>
        <v/>
      </c>
      <c r="H45" s="22">
        <f>IFERROR(G45/G$23,0)</f>
        <v/>
      </c>
      <c r="I45" s="22">
        <f>IFERROR((G45-D45)/D45,0)</f>
        <v/>
      </c>
    </row>
    <row r="46">
      <c r="C46" s="22">
        <f>IFERROR(B46/B$23,0)</f>
        <v/>
      </c>
      <c r="E46" s="22">
        <f>IFERROR(D46/D$23,0)</f>
        <v/>
      </c>
      <c r="F46" s="22">
        <f>IFERROR((D46-B46)/B46,0)</f>
        <v/>
      </c>
      <c r="H46" s="22">
        <f>IFERROR(G46/G$23,0)</f>
        <v/>
      </c>
      <c r="I46" s="22">
        <f>IFERROR((G46-D46)/D46,0)</f>
        <v/>
      </c>
    </row>
    <row r="47">
      <c r="C47" s="22">
        <f>IFERROR(B47/B$23,0)</f>
        <v/>
      </c>
      <c r="E47" s="22">
        <f>IFERROR(D47/D$23,0)</f>
        <v/>
      </c>
      <c r="F47" s="22">
        <f>IFERROR((D47-B47)/B47,0)</f>
        <v/>
      </c>
      <c r="H47" s="22">
        <f>IFERROR(G47/G$23,0)</f>
        <v/>
      </c>
      <c r="I47" s="22">
        <f>IFERROR((G47-D47)/D47,0)</f>
        <v/>
      </c>
    </row>
    <row r="48">
      <c r="A48" s="10" t="inlineStr">
        <is>
          <t>PATRIMONIO</t>
        </is>
      </c>
      <c r="C48" s="22">
        <f>IFERROR(B48/B$23,0)</f>
        <v/>
      </c>
      <c r="E48" s="22">
        <f>IFERROR(D48/D$23,0)</f>
        <v/>
      </c>
      <c r="F48" s="22">
        <f>IFERROR((D48-B48)/B48,0)</f>
        <v/>
      </c>
      <c r="H48" s="22">
        <f>IFERROR(G48/G$23,0)</f>
        <v/>
      </c>
      <c r="I48" s="22">
        <f>IFERROR((G48-D48)/D48,0)</f>
        <v/>
      </c>
    </row>
    <row r="49">
      <c r="B49" t="n">
        <v>5000</v>
      </c>
      <c r="C49" s="22">
        <f>IFERROR(B49/B$23,0)</f>
        <v/>
      </c>
      <c r="D49" t="n">
        <v>5500</v>
      </c>
      <c r="E49" s="22">
        <f>IFERROR(D49/D$23,0)</f>
        <v/>
      </c>
      <c r="F49" s="22">
        <f>IFERROR((D49-B49)/B49,0)</f>
        <v/>
      </c>
      <c r="G49" t="n">
        <v>6160.000000000001</v>
      </c>
      <c r="H49" s="22">
        <f>IFERROR(G49/G$23,0)</f>
        <v/>
      </c>
      <c r="I49" s="22">
        <f>IFERROR((G49-D49)/D49,0)</f>
        <v/>
      </c>
    </row>
    <row r="50">
      <c r="A50" t="inlineStr">
        <is>
          <t>Capital Social</t>
        </is>
      </c>
      <c r="B50" s="5" t="n">
        <v>800</v>
      </c>
      <c r="C50" s="22">
        <f>IFERROR(B50/B$23,0)</f>
        <v/>
      </c>
      <c r="D50" s="5" t="n">
        <v>880.0000000000001</v>
      </c>
      <c r="E50" s="22">
        <f>IFERROR(D50/D$23,0)</f>
        <v/>
      </c>
      <c r="F50" s="22">
        <f>IFERROR((D50-B50)/B50,0)</f>
        <v/>
      </c>
      <c r="G50" s="5" t="n">
        <v>985.6000000000003</v>
      </c>
      <c r="H50" s="22">
        <f>IFERROR(G50/G$23,0)</f>
        <v/>
      </c>
      <c r="I50" s="22">
        <f>IFERROR((G50-D50)/D50,0)</f>
        <v/>
      </c>
    </row>
    <row r="51">
      <c r="A51" t="inlineStr">
        <is>
          <t>Reservas</t>
        </is>
      </c>
      <c r="B51" s="5" t="n">
        <v>1250</v>
      </c>
      <c r="C51" s="22">
        <f>IFERROR(B51/B$23,0)</f>
        <v/>
      </c>
      <c r="D51" s="5" t="n">
        <v>1375</v>
      </c>
      <c r="E51" s="22">
        <f>IFERROR(D51/D$23,0)</f>
        <v/>
      </c>
      <c r="F51" s="22">
        <f>IFERROR((D51-B51)/B51,0)</f>
        <v/>
      </c>
      <c r="G51" s="5" t="n">
        <v>1540</v>
      </c>
      <c r="H51" s="22">
        <f>IFERROR(G51/G$23,0)</f>
        <v/>
      </c>
      <c r="I51" s="22">
        <f>IFERROR((G51-D51)/D51,0)</f>
        <v/>
      </c>
    </row>
    <row r="52">
      <c r="A52" t="inlineStr">
        <is>
          <t>Resultado del Ejercicio</t>
        </is>
      </c>
      <c r="B52" s="5" t="n">
        <v>2000</v>
      </c>
      <c r="C52" s="22">
        <f>IFERROR(B52/B$23,0)</f>
        <v/>
      </c>
      <c r="D52" s="5" t="n">
        <v>2200</v>
      </c>
      <c r="E52" s="22">
        <f>IFERROR(D52/D$23,0)</f>
        <v/>
      </c>
      <c r="F52" s="22">
        <f>IFERROR((D52-B52)/B52,0)</f>
        <v/>
      </c>
      <c r="G52" s="5" t="n">
        <v>2464</v>
      </c>
      <c r="H52" s="22">
        <f>IFERROR(G52/G$23,0)</f>
        <v/>
      </c>
      <c r="I52" s="22">
        <f>IFERROR((G52-D52)/D52,0)</f>
        <v/>
      </c>
    </row>
    <row r="53">
      <c r="A53" t="inlineStr">
        <is>
          <t>Resultados Acumulados</t>
        </is>
      </c>
      <c r="B53" s="5" t="n">
        <v>500</v>
      </c>
      <c r="C53" s="22">
        <f>IFERROR(B53/B$23,0)</f>
        <v/>
      </c>
      <c r="D53" s="5" t="n">
        <v>550</v>
      </c>
      <c r="E53" s="22">
        <f>IFERROR(D53/D$23,0)</f>
        <v/>
      </c>
      <c r="F53" s="22">
        <f>IFERROR((D53-B53)/B53,0)</f>
        <v/>
      </c>
      <c r="G53" s="5" t="n">
        <v>616.0000000000001</v>
      </c>
      <c r="H53" s="22">
        <f>IFERROR(G53/G$23,0)</f>
        <v/>
      </c>
      <c r="I53" s="22">
        <f>IFERROR((G53-D53)/D53,0)</f>
        <v/>
      </c>
    </row>
    <row r="54">
      <c r="A54" t="inlineStr">
        <is>
          <t>Superávit por Valorización/Revaluación</t>
        </is>
      </c>
      <c r="B54" s="28">
        <f>IFERROR(SUM(B49:B53),0)</f>
        <v/>
      </c>
      <c r="C54" s="22">
        <f>IFERROR(B54/B$23,0)</f>
        <v/>
      </c>
      <c r="D54" s="28">
        <f>IFERROR(SUM(D49:D53),0)</f>
        <v/>
      </c>
      <c r="E54" s="22">
        <f>IFERROR(D54/D$23,0)</f>
        <v/>
      </c>
      <c r="F54" s="22">
        <f>IFERROR((D54-B54)/B54,0)</f>
        <v/>
      </c>
      <c r="G54" s="28">
        <f>IFERROR(SUM(G49:G53),0)</f>
        <v/>
      </c>
      <c r="H54" s="22">
        <f>IFERROR(G54/G$23,0)</f>
        <v/>
      </c>
      <c r="I54" s="22">
        <f>IFERROR((G54-D54)/D54,0)</f>
        <v/>
      </c>
    </row>
    <row r="55">
      <c r="A55" s="9" t="inlineStr">
        <is>
          <t>TOTAL PATRIMONIO</t>
        </is>
      </c>
      <c r="C55" s="22">
        <f>IFERROR(B55/B$23,0)</f>
        <v/>
      </c>
      <c r="E55" s="22">
        <f>IFERROR(D55/D$23,0)</f>
        <v/>
      </c>
      <c r="F55" s="22">
        <f>IFERROR((D55-B55)/B55,0)</f>
        <v/>
      </c>
      <c r="H55" s="22">
        <f>IFERROR(G55/G$23,0)</f>
        <v/>
      </c>
      <c r="I55" s="22">
        <f>IFERROR((G55-D55)/D55,0)</f>
        <v/>
      </c>
    </row>
    <row r="56">
      <c r="B56" s="27">
        <f>IFERROR(B45+B54,0)</f>
        <v/>
      </c>
      <c r="C56" s="22">
        <f>IFERROR(B56/B$23,0)</f>
        <v/>
      </c>
      <c r="D56" s="27">
        <f>IFERROR(D45+D54,0)</f>
        <v/>
      </c>
      <c r="E56" s="22">
        <f>IFERROR(D56/D$23,0)</f>
        <v/>
      </c>
      <c r="F56" s="22">
        <f>IFERROR((D56-B56)/B56,0)</f>
        <v/>
      </c>
      <c r="G56" s="27">
        <f>IFERROR(G45+G54,0)</f>
        <v/>
      </c>
      <c r="H56" s="22">
        <f>IFERROR(G56/G$23,0)</f>
        <v/>
      </c>
      <c r="I56" s="22">
        <f>IFERROR((G56-D56)/D56,0)</f>
        <v/>
      </c>
    </row>
    <row r="57">
      <c r="A57" s="9" t="inlineStr">
        <is>
          <t>TOTAL PASIVO + PATRIMONIO</t>
        </is>
      </c>
    </row>
    <row r="58">
      <c r="B58" s="29">
        <f>IFERROR(B23-B56,0)</f>
        <v/>
      </c>
      <c r="D58" s="29">
        <f>IFERROR(D23-D56,0)</f>
        <v/>
      </c>
      <c r="G58" s="29">
        <f>IFERROR(G23-G56,0)</f>
        <v/>
      </c>
    </row>
    <row r="59">
      <c r="A59" s="12" t="inlineStr">
        <is>
          <t>VERIFICACIÓN DE CUADRE (debe ser cero)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INDICADORES FINANCIEROS</t>
        </is>
      </c>
    </row>
    <row r="4">
      <c r="A4" s="8" t="inlineStr">
        <is>
          <t>INDICADOR</t>
        </is>
      </c>
      <c r="B4" s="8" t="inlineStr">
        <is>
          <t>Fórmula</t>
        </is>
      </c>
      <c r="C4" s="8" t="inlineStr">
        <is>
          <t>2022</t>
        </is>
      </c>
      <c r="D4" s="8" t="inlineStr">
        <is>
          <t>2023</t>
        </is>
      </c>
      <c r="E4" s="8" t="inlineStr">
        <is>
          <t>Δ</t>
        </is>
      </c>
      <c r="F4" s="8" t="inlineStr">
        <is>
          <t>Δ%</t>
        </is>
      </c>
      <c r="G4" s="8" t="inlineStr">
        <is>
          <t>2024</t>
        </is>
      </c>
      <c r="H4" s="8" t="inlineStr">
        <is>
          <t>Δ</t>
        </is>
      </c>
      <c r="I4" s="8" t="inlineStr">
        <is>
          <t>Δ%</t>
        </is>
      </c>
      <c r="J4" s="8" t="inlineStr">
        <is>
          <t>Semáforo</t>
        </is>
      </c>
      <c r="K4" s="8" t="inlineStr">
        <is>
          <t>Benchmark</t>
        </is>
      </c>
      <c r="L4" s="8" t="inlineStr">
        <is>
          <t>vs Ind</t>
        </is>
      </c>
    </row>
    <row r="6">
      <c r="A6" s="13" t="inlineStr">
        <is>
          <t>A. INDICADORES DE LIQUIDEZ</t>
        </is>
      </c>
    </row>
    <row r="7">
      <c r="A7" s="4" t="inlineStr">
        <is>
          <t>Razón Corriente</t>
        </is>
      </c>
      <c r="B7" s="14" t="inlineStr">
        <is>
          <t>Activo Corriente / Pasivo Corriente</t>
        </is>
      </c>
      <c r="C7" s="30">
        <f>IFERROR(ESF!B14/ESF!B37,0)</f>
        <v/>
      </c>
      <c r="D7" s="30">
        <f>IFERROR(ESF!D14/ESF!D37,0)</f>
        <v/>
      </c>
      <c r="E7" s="30">
        <f>D7-C7</f>
        <v/>
      </c>
      <c r="F7" s="22">
        <f>IFERROR((D7-C7)/C7,0)</f>
        <v/>
      </c>
      <c r="G7" s="30">
        <f>IFERROR(ESF!G14/ESF!G37,0)</f>
        <v/>
      </c>
      <c r="H7" s="30">
        <f>G7-D7</f>
        <v/>
      </c>
      <c r="I7" s="22">
        <f>IFERROR((G7-D7)/D7,0)</f>
        <v/>
      </c>
      <c r="J7">
        <f>IF(G7&gt;=1.5,"🟢 Óptimo",IF(G7&gt;=1,"🟡 Aceptable","🔴 Crítico"))</f>
        <v/>
      </c>
    </row>
    <row r="8">
      <c r="A8" s="4" t="inlineStr">
        <is>
          <t>Prueba Ácida</t>
        </is>
      </c>
      <c r="B8" s="14" t="inlineStr">
        <is>
          <t>(Activo Corriente - Inventarios) / Pasivo Corriente</t>
        </is>
      </c>
      <c r="C8" s="30">
        <f>IFERROR((ESF!B14-ESF!B11)/ESF!B37,0)</f>
        <v/>
      </c>
      <c r="D8" s="30">
        <f>IFERROR((ESF!D14-ESF!D11)/ESF!D37,0)</f>
        <v/>
      </c>
      <c r="E8" s="30">
        <f>D8-C8</f>
        <v/>
      </c>
      <c r="F8" s="22">
        <f>IFERROR((D8-C8)/C8,0)</f>
        <v/>
      </c>
      <c r="G8" s="30">
        <f>IFERROR((ESF!G14-ESF!G11)/ESF!G37,0)</f>
        <v/>
      </c>
      <c r="H8" s="30">
        <f>G8-D8</f>
        <v/>
      </c>
      <c r="I8" s="22">
        <f>IFERROR((G8-D8)/D8,0)</f>
        <v/>
      </c>
      <c r="J8">
        <f>IF(G8&gt;=1,"🟢 Óptimo",IF(G8&gt;=0.8,"🟡 Aceptable","🔴 Crítico"))</f>
        <v/>
      </c>
    </row>
    <row r="9">
      <c r="A9" s="4" t="inlineStr">
        <is>
          <t>Capital de Trabajo (KT)</t>
        </is>
      </c>
      <c r="B9" s="14" t="inlineStr">
        <is>
          <t>Activo Corriente - Pasivo Corriente</t>
        </is>
      </c>
      <c r="C9" s="30">
        <f>IFERROR(ESF!B14-ESF!B37,0)</f>
        <v/>
      </c>
      <c r="D9" s="30">
        <f>IFERROR(ESF!D14-ESF!D37,0)</f>
        <v/>
      </c>
      <c r="E9" s="30">
        <f>D9-C9</f>
        <v/>
      </c>
      <c r="F9" s="22">
        <f>IFERROR((D9-C9)/C9,0)</f>
        <v/>
      </c>
      <c r="G9" s="30">
        <f>IFERROR(ESF!G14-ESF!G37,0)</f>
        <v/>
      </c>
      <c r="H9" s="30">
        <f>G9-D9</f>
        <v/>
      </c>
      <c r="I9" s="22">
        <f>IFERROR((G9-D9)/D9,0)</f>
        <v/>
      </c>
      <c r="J9">
        <f>IF(G9&gt;0,"🟢 Positivo","🔴 Negativo")</f>
        <v/>
      </c>
    </row>
    <row r="10">
      <c r="A10" s="4" t="inlineStr">
        <is>
          <t>Capital de Trabajo Neto Operativo (KTNO)</t>
        </is>
      </c>
      <c r="B10" s="14" t="inlineStr">
        <is>
          <t>CxC Clientes + Inventarios - Proveedores</t>
        </is>
      </c>
      <c r="C10" s="30">
        <f>IFERROR(ESF!B9+ESF!B11-ESF!B30,0)</f>
        <v/>
      </c>
      <c r="D10" s="30">
        <f>IFERROR(ESF!D9+ESF!D11-ESF!D30,0)</f>
        <v/>
      </c>
      <c r="E10" s="30">
        <f>D10-C10</f>
        <v/>
      </c>
      <c r="F10" s="22">
        <f>IFERROR((D10-C10)/C10,0)</f>
        <v/>
      </c>
      <c r="G10" s="30">
        <f>IFERROR(ESF!G9+ESF!G11-ESF!G30,0)</f>
        <v/>
      </c>
      <c r="H10" s="30">
        <f>G10-D10</f>
        <v/>
      </c>
      <c r="I10" s="22">
        <f>IFERROR((G10-D10)/D10,0)</f>
        <v/>
      </c>
    </row>
    <row r="11">
      <c r="A11" s="4" t="inlineStr">
        <is>
          <t>Productividad del KT (PKT)</t>
        </is>
      </c>
      <c r="B11" s="14" t="inlineStr">
        <is>
          <t>KT / Ventas</t>
        </is>
      </c>
      <c r="C11" s="30">
        <f>IFERROR(C9/EERR!B5,0)</f>
        <v/>
      </c>
      <c r="D11" s="30">
        <f>IFERROR(D9/EERR!D5,0)</f>
        <v/>
      </c>
      <c r="E11" s="30">
        <f>D11-C11</f>
        <v/>
      </c>
      <c r="F11" s="22">
        <f>IFERROR((D11-C11)/C11,0)</f>
        <v/>
      </c>
      <c r="G11" s="30">
        <f>IFERROR(G9/EERR!G5,0)</f>
        <v/>
      </c>
      <c r="H11" s="30">
        <f>G11-D11</f>
        <v/>
      </c>
      <c r="I11" s="22">
        <f>IFERROR((G11-D11)/D11,0)</f>
        <v/>
      </c>
    </row>
    <row r="12">
      <c r="A12" s="4" t="inlineStr">
        <is>
          <t>Productividad del KTNO (PKTNO)</t>
        </is>
      </c>
      <c r="B12" s="14" t="inlineStr">
        <is>
          <t>KTNO / Ventas</t>
        </is>
      </c>
      <c r="C12" s="30">
        <f>IFERROR(C10/EERR!B5,0)</f>
        <v/>
      </c>
      <c r="D12" s="30">
        <f>IFERROR(D10/EERR!D5,0)</f>
        <v/>
      </c>
      <c r="E12" s="30">
        <f>D12-C12</f>
        <v/>
      </c>
      <c r="F12" s="22">
        <f>IFERROR((D12-C12)/C12,0)</f>
        <v/>
      </c>
      <c r="G12" s="30">
        <f>IFERROR(G10/EERR!G5,0)</f>
        <v/>
      </c>
      <c r="H12" s="30">
        <f>G12-D12</f>
        <v/>
      </c>
      <c r="I12" s="22">
        <f>IFERROR((G12-D12)/D12,0)</f>
        <v/>
      </c>
    </row>
    <row r="13">
      <c r="A13" s="4" t="inlineStr">
        <is>
          <t>Solvencia</t>
        </is>
      </c>
      <c r="B13" s="14" t="inlineStr">
        <is>
          <t>Activo Total / Pasivo Total</t>
        </is>
      </c>
      <c r="C13" s="30">
        <f>IFERROR(ESF!B23/ESF!B45,0)</f>
        <v/>
      </c>
      <c r="D13" s="30">
        <f>IFERROR(ESF!D23/ESF!D45,0)</f>
        <v/>
      </c>
      <c r="E13" s="30">
        <f>D13-C13</f>
        <v/>
      </c>
      <c r="F13" s="22">
        <f>IFERROR((D13-C13)/C13,0)</f>
        <v/>
      </c>
      <c r="G13" s="30">
        <f>IFERROR(ESF!G23/ESF!G45,0)</f>
        <v/>
      </c>
      <c r="H13" s="30">
        <f>G13-D13</f>
        <v/>
      </c>
      <c r="I13" s="22">
        <f>IFERROR((G13-D13)/D13,0)</f>
        <v/>
      </c>
      <c r="J13">
        <f>IF(G13&gt;=2,"🟢 Óptimo",IF(G13&gt;=1,"🟡 Aceptable","🔴 Crítico"))</f>
        <v/>
      </c>
    </row>
    <row r="15">
      <c r="A15" s="13" t="inlineStr">
        <is>
          <t>B. INDICADORES DE RENTABILIDAD</t>
        </is>
      </c>
    </row>
    <row r="16">
      <c r="A16" s="4" t="inlineStr">
        <is>
          <t>Margen Bruto</t>
        </is>
      </c>
      <c r="B16" s="14" t="inlineStr">
        <is>
          <t>Utilidad Bruta / Ventas</t>
        </is>
      </c>
      <c r="C16" s="30">
        <f>IFERROR(EERR!B7/EERR!B5,0)</f>
        <v/>
      </c>
      <c r="D16" s="30">
        <f>IFERROR(EERR!D7/EERR!D5,0)</f>
        <v/>
      </c>
      <c r="E16" s="30">
        <f>D16-C16</f>
        <v/>
      </c>
      <c r="F16" s="22">
        <f>IFERROR((D16-C16)/C16,0)</f>
        <v/>
      </c>
      <c r="G16" s="30">
        <f>IFERROR(EERR!G7/EERR!G5,0)</f>
        <v/>
      </c>
      <c r="H16" s="30">
        <f>G16-D16</f>
        <v/>
      </c>
      <c r="I16" s="22">
        <f>IFERROR((G16-D16)/D16,0)</f>
        <v/>
      </c>
      <c r="J16">
        <f>IF(G16&gt;=0.3,"🟢 Óptimo",IF(G16&gt;=0.2,"🟡 Aceptable","🔴 Bajo"))</f>
        <v/>
      </c>
    </row>
    <row r="17">
      <c r="A17" s="4" t="inlineStr">
        <is>
          <t>Margen EBITDA</t>
        </is>
      </c>
      <c r="B17" s="14" t="inlineStr">
        <is>
          <t>EBITDA / Ventas</t>
        </is>
      </c>
      <c r="C17" s="30">
        <f>IFERROR(EERR!B13/EERR!B5,0)</f>
        <v/>
      </c>
      <c r="D17" s="30">
        <f>IFERROR(EERR!D13/EERR!D5,0)</f>
        <v/>
      </c>
      <c r="E17" s="30">
        <f>D17-C17</f>
        <v/>
      </c>
      <c r="F17" s="22">
        <f>IFERROR((D17-C17)/C17,0)</f>
        <v/>
      </c>
      <c r="G17" s="30">
        <f>IFERROR(EERR!G13/EERR!G5,0)</f>
        <v/>
      </c>
      <c r="H17" s="30">
        <f>G17-D17</f>
        <v/>
      </c>
      <c r="I17" s="22">
        <f>IFERROR((G17-D17)/D17,0)</f>
        <v/>
      </c>
      <c r="J17">
        <f>IF(G17&gt;=0.15,"🟢 Óptimo",IF(G17&gt;=0.1,"🟡 Aceptable","🔴 Bajo"))</f>
        <v/>
      </c>
    </row>
    <row r="18">
      <c r="A18" s="4" t="inlineStr">
        <is>
          <t>Margen Operativo</t>
        </is>
      </c>
      <c r="B18" s="14" t="inlineStr">
        <is>
          <t>Utilidad Operativa / Ventas</t>
        </is>
      </c>
      <c r="C18" s="30">
        <f>IFERROR(EERR!B14/EERR!B5,0)</f>
        <v/>
      </c>
      <c r="D18" s="30">
        <f>IFERROR(EERR!D14/EERR!D5,0)</f>
        <v/>
      </c>
      <c r="E18" s="30">
        <f>D18-C18</f>
        <v/>
      </c>
      <c r="F18" s="22">
        <f>IFERROR((D18-C18)/C18,0)</f>
        <v/>
      </c>
      <c r="G18" s="30">
        <f>IFERROR(EERR!G14/EERR!G5,0)</f>
        <v/>
      </c>
      <c r="H18" s="30">
        <f>G18-D18</f>
        <v/>
      </c>
      <c r="I18" s="22">
        <f>IFERROR((G18-D18)/D18,0)</f>
        <v/>
      </c>
      <c r="J18">
        <f>IF(G18&gt;=0.1,"🟢 Óptimo",IF(G18&gt;=0.05,"🟡 Aceptable","🔴 Bajo"))</f>
        <v/>
      </c>
    </row>
    <row r="19">
      <c r="A19" s="4" t="inlineStr">
        <is>
          <t>Margen Neto</t>
        </is>
      </c>
      <c r="B19" s="14" t="inlineStr">
        <is>
          <t>Utilidad Neta / Ventas</t>
        </is>
      </c>
      <c r="C19" s="30">
        <f>IFERROR(EERR!B22/EERR!B5,0)</f>
        <v/>
      </c>
      <c r="D19" s="30">
        <f>IFERROR(EERR!D22/EERR!D5,0)</f>
        <v/>
      </c>
      <c r="E19" s="30">
        <f>D19-C19</f>
        <v/>
      </c>
      <c r="F19" s="22">
        <f>IFERROR((D19-C19)/C19,0)</f>
        <v/>
      </c>
      <c r="G19" s="30">
        <f>IFERROR(EERR!G22/EERR!G5,0)</f>
        <v/>
      </c>
      <c r="H19" s="30">
        <f>G19-D19</f>
        <v/>
      </c>
      <c r="I19" s="22">
        <f>IFERROR((G19-D19)/D19,0)</f>
        <v/>
      </c>
      <c r="J19">
        <f>IF(G19&gt;=0.1,"🟢 Óptimo",IF(G19&gt;=0.05,"🟡 Aceptable","🔴 Bajo"))</f>
        <v/>
      </c>
    </row>
    <row r="20">
      <c r="A20" s="4" t="inlineStr">
        <is>
          <t>ROA (Retorno sobre Activos)</t>
        </is>
      </c>
      <c r="B20" s="14" t="inlineStr">
        <is>
          <t>Utilidad Neta / Activos Totales</t>
        </is>
      </c>
      <c r="C20" s="30">
        <f>IFERROR(EERR!B22/ESF!B23,0)</f>
        <v/>
      </c>
      <c r="D20" s="30">
        <f>IFERROR(EERR!D22/ESF!D23,0)</f>
        <v/>
      </c>
      <c r="E20" s="30">
        <f>D20-C20</f>
        <v/>
      </c>
      <c r="F20" s="22">
        <f>IFERROR((D20-C20)/C20,0)</f>
        <v/>
      </c>
      <c r="G20" s="30">
        <f>IFERROR(EERR!G22/ESF!G23,0)</f>
        <v/>
      </c>
      <c r="H20" s="30">
        <f>G20-D20</f>
        <v/>
      </c>
      <c r="I20" s="22">
        <f>IFERROR((G20-D20)/D20,0)</f>
        <v/>
      </c>
      <c r="J20">
        <f>IF(G20&gt;=0.1,"🟢 Óptimo",IF(G20&gt;=0.05,"🟡 Aceptable","🔴 Bajo"))</f>
        <v/>
      </c>
    </row>
    <row r="21">
      <c r="A21" s="4" t="inlineStr">
        <is>
          <t>ROE (Retorno sobre Patrimonio)</t>
        </is>
      </c>
      <c r="B21" s="14" t="inlineStr">
        <is>
          <t>Utilidad Neta / Patrimonio</t>
        </is>
      </c>
      <c r="C21" s="30">
        <f>IFERROR(EERR!B22/ESF!B54,0)</f>
        <v/>
      </c>
      <c r="D21" s="30">
        <f>IFERROR(EERR!D22/ESF!D54,0)</f>
        <v/>
      </c>
      <c r="E21" s="30">
        <f>D21-C21</f>
        <v/>
      </c>
      <c r="F21" s="22">
        <f>IFERROR((D21-C21)/C21,0)</f>
        <v/>
      </c>
      <c r="G21" s="30">
        <f>IFERROR(EERR!G22/ESF!G54,0)</f>
        <v/>
      </c>
      <c r="H21" s="30">
        <f>G21-D21</f>
        <v/>
      </c>
      <c r="I21" s="22">
        <f>IFERROR((G21-D21)/D21,0)</f>
        <v/>
      </c>
      <c r="J21">
        <f>IF(G21&gt;=0.15,"🟢 Óptimo",IF(G21&gt;=0.1,"🟡 Aceptable","🔴 Bajo"))</f>
        <v/>
      </c>
    </row>
    <row r="22">
      <c r="A22" s="4" t="inlineStr">
        <is>
          <t>Tasa Efectiva de Tributación</t>
        </is>
      </c>
      <c r="B22" s="14" t="inlineStr">
        <is>
          <t>Impuestos / UAI</t>
        </is>
      </c>
      <c r="C22" s="30">
        <f>IFERROR(EERR!B21/EERR!B19,0)</f>
        <v/>
      </c>
      <c r="D22" s="30">
        <f>IFERROR(EERR!D21/EERR!D19,0)</f>
        <v/>
      </c>
      <c r="E22" s="30">
        <f>D22-C22</f>
        <v/>
      </c>
      <c r="F22" s="22">
        <f>IFERROR((D22-C22)/C22,0)</f>
        <v/>
      </c>
      <c r="G22" s="30">
        <f>IFERROR(EERR!G21/EERR!G19,0)</f>
        <v/>
      </c>
      <c r="H22" s="30">
        <f>G22-D22</f>
        <v/>
      </c>
      <c r="I22" s="22">
        <f>IFERROR((G22-D22)/D22,0)</f>
        <v/>
      </c>
    </row>
    <row r="24">
      <c r="A24" s="13" t="inlineStr">
        <is>
          <t>C. INDICADORES DE ENDEUDAMIENTO</t>
        </is>
      </c>
    </row>
    <row r="25">
      <c r="A25" s="4" t="inlineStr">
        <is>
          <t>Nivel de Endeudamiento</t>
        </is>
      </c>
      <c r="B25" s="14" t="inlineStr">
        <is>
          <t>Pasivo Total / Activo Total</t>
        </is>
      </c>
      <c r="C25" s="30">
        <f>IFERROR(ESF!B45/ESF!B23,0)</f>
        <v/>
      </c>
      <c r="D25" s="30">
        <f>IFERROR(ESF!D45/ESF!D23,0)</f>
        <v/>
      </c>
      <c r="E25" s="30">
        <f>D25-C25</f>
        <v/>
      </c>
      <c r="F25" s="22">
        <f>IFERROR((D25-C25)/C25,0)</f>
        <v/>
      </c>
      <c r="G25" s="30">
        <f>IFERROR(ESF!G45/ESF!G23,0)</f>
        <v/>
      </c>
      <c r="H25" s="30">
        <f>G25-D25</f>
        <v/>
      </c>
      <c r="I25" s="22">
        <f>IFERROR((G25-D25)/D25,0)</f>
        <v/>
      </c>
      <c r="J25">
        <f>IF(G25&lt;=0.5,"🟢 Óptimo",IF(G25&lt;=0.7,"🟡 Moderado","🔴 Alto"))</f>
        <v/>
      </c>
    </row>
    <row r="26">
      <c r="A26" s="4" t="inlineStr">
        <is>
          <t>Concentración Deuda Corto Plazo</t>
        </is>
      </c>
      <c r="B26" s="14" t="inlineStr">
        <is>
          <t>Pasivo Corriente / Pasivo Total</t>
        </is>
      </c>
      <c r="C26" s="30">
        <f>IFERROR(ESF!B37/ESF!B45,0)</f>
        <v/>
      </c>
      <c r="D26" s="30">
        <f>IFERROR(ESF!D37/ESF!D45,0)</f>
        <v/>
      </c>
      <c r="E26" s="30">
        <f>D26-C26</f>
        <v/>
      </c>
      <c r="F26" s="22">
        <f>IFERROR((D26-C26)/C26,0)</f>
        <v/>
      </c>
      <c r="G26" s="30">
        <f>IFERROR(ESF!G37/ESF!G45,0)</f>
        <v/>
      </c>
      <c r="H26" s="30">
        <f>G26-D26</f>
        <v/>
      </c>
      <c r="I26" s="22">
        <f>IFERROR((G26-D26)/D26,0)</f>
        <v/>
      </c>
    </row>
    <row r="27">
      <c r="A27" s="4" t="inlineStr">
        <is>
          <t>Deuda Financiera / Activos</t>
        </is>
      </c>
      <c r="B27" s="14" t="inlineStr">
        <is>
          <t>(Oblig. Financ. CP + LP) / Activos</t>
        </is>
      </c>
      <c r="C27" s="30">
        <f>IFERROR((ESF!B29+ESF!B40)/ESF!B23,0)</f>
        <v/>
      </c>
      <c r="D27" s="30">
        <f>IFERROR((ESF!D29+ESF!D40)/ESF!D23,0)</f>
        <v/>
      </c>
      <c r="E27" s="30">
        <f>D27-C27</f>
        <v/>
      </c>
      <c r="F27" s="22">
        <f>IFERROR((D27-C27)/C27,0)</f>
        <v/>
      </c>
      <c r="G27" s="30">
        <f>IFERROR((ESF!G29+ESF!G40)/ESF!G23,0)</f>
        <v/>
      </c>
      <c r="H27" s="30">
        <f>G27-D27</f>
        <v/>
      </c>
      <c r="I27" s="22">
        <f>IFERROR((G27-D27)/D27,0)</f>
        <v/>
      </c>
    </row>
    <row r="28">
      <c r="A28" s="4" t="inlineStr">
        <is>
          <t>Deuda / Patrimonio</t>
        </is>
      </c>
      <c r="B28" s="14" t="inlineStr">
        <is>
          <t>Pasivo Total / Patrimonio</t>
        </is>
      </c>
      <c r="C28" s="30">
        <f>IFERROR(ESF!B45/ESF!B54,0)</f>
        <v/>
      </c>
      <c r="D28" s="30">
        <f>IFERROR(ESF!D45/ESF!D54,0)</f>
        <v/>
      </c>
      <c r="E28" s="30">
        <f>D28-C28</f>
        <v/>
      </c>
      <c r="F28" s="22">
        <f>IFERROR((D28-C28)/C28,0)</f>
        <v/>
      </c>
      <c r="G28" s="30">
        <f>IFERROR(ESF!G45/ESF!G54,0)</f>
        <v/>
      </c>
      <c r="H28" s="30">
        <f>G28-D28</f>
        <v/>
      </c>
      <c r="I28" s="22">
        <f>IFERROR((G28-D28)/D28,0)</f>
        <v/>
      </c>
    </row>
    <row r="29">
      <c r="A29" s="4" t="inlineStr">
        <is>
          <t>Cobertura de Intereses</t>
        </is>
      </c>
      <c r="B29" s="14" t="inlineStr">
        <is>
          <t>EBIT / Gastos Financieros</t>
        </is>
      </c>
      <c r="C29" s="30">
        <f>IFERROR(EERR!B14/EERR!B18,0)</f>
        <v/>
      </c>
      <c r="D29" s="30">
        <f>IFERROR(EERR!D14/EERR!D18,0)</f>
        <v/>
      </c>
      <c r="E29" s="30">
        <f>D29-C29</f>
        <v/>
      </c>
      <c r="F29" s="22">
        <f>IFERROR((D29-C29)/C29,0)</f>
        <v/>
      </c>
      <c r="G29" s="30">
        <f>IFERROR(EERR!G14/EERR!G18,0)</f>
        <v/>
      </c>
      <c r="H29" s="30">
        <f>G29-D29</f>
        <v/>
      </c>
      <c r="I29" s="22">
        <f>IFERROR((G29-D29)/D29,0)</f>
        <v/>
      </c>
      <c r="J29">
        <f>IF(G29&gt;=5,"🟢 Óptimo",IF(G29&gt;=2,"🟡 Aceptable","🔴 Crítico"))</f>
        <v/>
      </c>
    </row>
    <row r="31">
      <c r="A31" s="13" t="inlineStr">
        <is>
          <t>D. INDICADORES DE ACTIVIDAD/ROTACIÓN</t>
        </is>
      </c>
    </row>
    <row r="32">
      <c r="A32" s="4" t="inlineStr">
        <is>
          <t>Rotación de Inventarios (veces)</t>
        </is>
      </c>
      <c r="B32" s="14" t="inlineStr">
        <is>
          <t>Costo de Ventas / Inventarios</t>
        </is>
      </c>
      <c r="C32" s="30">
        <f>IFERROR(EERR!B6/ESF!B11,0)</f>
        <v/>
      </c>
      <c r="D32" s="30">
        <f>IFERROR(EERR!D6/ESF!D11,0)</f>
        <v/>
      </c>
      <c r="E32" s="30">
        <f>D32-C32</f>
        <v/>
      </c>
      <c r="F32" s="22">
        <f>IFERROR((D32-C32)/C32,0)</f>
        <v/>
      </c>
      <c r="G32" s="30">
        <f>IFERROR(EERR!G6/ESF!G11,0)</f>
        <v/>
      </c>
      <c r="H32" s="30">
        <f>G32-D32</f>
        <v/>
      </c>
      <c r="I32" s="22">
        <f>IFERROR((G32-D32)/D32,0)</f>
        <v/>
      </c>
    </row>
    <row r="33">
      <c r="A33" s="4" t="inlineStr">
        <is>
          <t>Días de Inventario</t>
        </is>
      </c>
      <c r="B33" s="14" t="inlineStr">
        <is>
          <t>365 / Rotación de Inventarios</t>
        </is>
      </c>
      <c r="C33" s="30">
        <f>IFERROR(365/C32,0)</f>
        <v/>
      </c>
      <c r="D33" s="30">
        <f>IFERROR(365/D32,0)</f>
        <v/>
      </c>
      <c r="E33" s="30">
        <f>D33-C33</f>
        <v/>
      </c>
      <c r="F33" s="22">
        <f>IFERROR((D33-C33)/C33,0)</f>
        <v/>
      </c>
      <c r="G33" s="30">
        <f>IFERROR(365/G32,0)</f>
        <v/>
      </c>
      <c r="H33" s="30">
        <f>G33-D33</f>
        <v/>
      </c>
      <c r="I33" s="22">
        <f>IFERROR((G33-D33)/D33,0)</f>
        <v/>
      </c>
    </row>
    <row r="34">
      <c r="A34" s="4" t="inlineStr">
        <is>
          <t>Rotación de Cartera (veces)</t>
        </is>
      </c>
      <c r="B34" s="14" t="inlineStr">
        <is>
          <t>Ventas / CxC Clientes</t>
        </is>
      </c>
      <c r="C34" s="30">
        <f>IFERROR(EERR!B5/ESF!B9,0)</f>
        <v/>
      </c>
      <c r="D34" s="30">
        <f>IFERROR(EERR!D5/ESF!D9,0)</f>
        <v/>
      </c>
      <c r="E34" s="30">
        <f>D34-C34</f>
        <v/>
      </c>
      <c r="F34" s="22">
        <f>IFERROR((D34-C34)/C34,0)</f>
        <v/>
      </c>
      <c r="G34" s="30">
        <f>IFERROR(EERR!G5/ESF!G9,0)</f>
        <v/>
      </c>
      <c r="H34" s="30">
        <f>G34-D34</f>
        <v/>
      </c>
      <c r="I34" s="22">
        <f>IFERROR((G34-D34)/D34,0)</f>
        <v/>
      </c>
    </row>
    <row r="35">
      <c r="A35" s="4" t="inlineStr">
        <is>
          <t>Días de Cartera</t>
        </is>
      </c>
      <c r="B35" s="14" t="inlineStr">
        <is>
          <t>365 / Rotación de Cartera</t>
        </is>
      </c>
      <c r="C35" s="30">
        <f>IFERROR(365/C34,0)</f>
        <v/>
      </c>
      <c r="D35" s="30">
        <f>IFERROR(365/D34,0)</f>
        <v/>
      </c>
      <c r="E35" s="30">
        <f>D35-C35</f>
        <v/>
      </c>
      <c r="F35" s="22">
        <f>IFERROR((D35-C35)/C35,0)</f>
        <v/>
      </c>
      <c r="G35" s="30">
        <f>IFERROR(365/G34,0)</f>
        <v/>
      </c>
      <c r="H35" s="30">
        <f>G35-D35</f>
        <v/>
      </c>
      <c r="I35" s="22">
        <f>IFERROR((G35-D35)/D35,0)</f>
        <v/>
      </c>
    </row>
    <row r="36">
      <c r="A36" s="4" t="inlineStr">
        <is>
          <t>Rotación de Proveedores (veces)</t>
        </is>
      </c>
      <c r="B36" s="14" t="inlineStr">
        <is>
          <t>Costo de Ventas / Proveedores</t>
        </is>
      </c>
      <c r="C36" s="30">
        <f>IFERROR(EERR!B6/ESF!B30,0)</f>
        <v/>
      </c>
      <c r="D36" s="30">
        <f>IFERROR(EERR!D6/ESF!D30,0)</f>
        <v/>
      </c>
      <c r="E36" s="30">
        <f>D36-C36</f>
        <v/>
      </c>
      <c r="F36" s="22">
        <f>IFERROR((D36-C36)/C36,0)</f>
        <v/>
      </c>
      <c r="G36" s="30">
        <f>IFERROR(EERR!G6/ESF!G30,0)</f>
        <v/>
      </c>
      <c r="H36" s="30">
        <f>G36-D36</f>
        <v/>
      </c>
      <c r="I36" s="22">
        <f>IFERROR((G36-D36)/D36,0)</f>
        <v/>
      </c>
    </row>
    <row r="37">
      <c r="A37" s="4" t="inlineStr">
        <is>
          <t>Días de Proveedores</t>
        </is>
      </c>
      <c r="B37" s="14" t="inlineStr">
        <is>
          <t>365 / Rotación de Proveedores</t>
        </is>
      </c>
      <c r="C37" s="30">
        <f>IFERROR(365/C36,0)</f>
        <v/>
      </c>
      <c r="D37" s="30">
        <f>IFERROR(365/D36,0)</f>
        <v/>
      </c>
      <c r="E37" s="30">
        <f>D37-C37</f>
        <v/>
      </c>
      <c r="F37" s="22">
        <f>IFERROR((D37-C37)/C37,0)</f>
        <v/>
      </c>
      <c r="G37" s="30">
        <f>IFERROR(365/G36,0)</f>
        <v/>
      </c>
      <c r="H37" s="30">
        <f>G37-D37</f>
        <v/>
      </c>
      <c r="I37" s="22">
        <f>IFERROR((G37-D37)/D37,0)</f>
        <v/>
      </c>
    </row>
    <row r="38">
      <c r="A38" s="4" t="inlineStr">
        <is>
          <t>Ciclo Operativo</t>
        </is>
      </c>
      <c r="B38" s="14" t="inlineStr">
        <is>
          <t>Días Inventario + Días Cartera</t>
        </is>
      </c>
      <c r="C38" s="30">
        <f>IFERROR(C33+C35,0)</f>
        <v/>
      </c>
      <c r="D38" s="30">
        <f>IFERROR(D33+D35,0)</f>
        <v/>
      </c>
      <c r="E38" s="30">
        <f>D38-C38</f>
        <v/>
      </c>
      <c r="F38" s="22">
        <f>IFERROR((D38-C38)/C38,0)</f>
        <v/>
      </c>
      <c r="G38" s="30">
        <f>IFERROR(G33+G35,0)</f>
        <v/>
      </c>
      <c r="H38" s="30">
        <f>G38-D38</f>
        <v/>
      </c>
      <c r="I38" s="22">
        <f>IFERROR((G38-D38)/D38,0)</f>
        <v/>
      </c>
    </row>
    <row r="39">
      <c r="A39" s="4" t="inlineStr">
        <is>
          <t>Ciclo de Conversión de Efectivo</t>
        </is>
      </c>
      <c r="B39" s="14" t="inlineStr">
        <is>
          <t>Ciclo Operativo - Días Proveedores</t>
        </is>
      </c>
      <c r="C39" s="30">
        <f>IFERROR(C38-C37,0)</f>
        <v/>
      </c>
      <c r="D39" s="30">
        <f>IFERROR(D38-D37,0)</f>
        <v/>
      </c>
      <c r="E39" s="30">
        <f>D39-C39</f>
        <v/>
      </c>
      <c r="F39" s="22">
        <f>IFERROR((D39-C39)/C39,0)</f>
        <v/>
      </c>
      <c r="G39" s="30">
        <f>IFERROR(G38-G37,0)</f>
        <v/>
      </c>
      <c r="H39" s="30">
        <f>G39-D39</f>
        <v/>
      </c>
      <c r="I39" s="22">
        <f>IFERROR((G39-D39)/D39,0)</f>
        <v/>
      </c>
      <c r="J39">
        <f>IF(G39&lt;=30,"🟢 Óptimo",IF(G39&lt;=60,"🟡 Aceptable","🔴 Alto"))</f>
        <v/>
      </c>
    </row>
    <row r="40">
      <c r="A40" s="4" t="inlineStr">
        <is>
          <t>GAP Financiero</t>
        </is>
      </c>
      <c r="B40" s="14" t="inlineStr">
        <is>
          <t>Días de financiación requerida</t>
        </is>
      </c>
      <c r="C40" s="30">
        <f>C39</f>
        <v/>
      </c>
      <c r="D40" s="30">
        <f>D39</f>
        <v/>
      </c>
      <c r="E40" s="30">
        <f>D40-C40</f>
        <v/>
      </c>
      <c r="F40" s="22">
        <f>IFERROR((D40-C40)/C40,0)</f>
        <v/>
      </c>
      <c r="G40" s="30">
        <f>G39</f>
        <v/>
      </c>
      <c r="H40" s="30">
        <f>G40-D40</f>
        <v/>
      </c>
      <c r="I40" s="22">
        <f>IFERROR((G40-D40)/D40,0)</f>
        <v/>
      </c>
    </row>
    <row r="42">
      <c r="A42" s="13" t="inlineStr">
        <is>
          <t>E. INDICADORES DE INVERSIÓN</t>
        </is>
      </c>
    </row>
    <row r="43">
      <c r="A43" s="4" t="inlineStr">
        <is>
          <t>Depreciación / PPE</t>
        </is>
      </c>
      <c r="B43" s="14" t="inlineStr">
        <is>
          <t>Depreciación / Propiedad, Planta y Equipo</t>
        </is>
      </c>
    </row>
    <row r="44">
      <c r="A44" s="4" t="inlineStr">
        <is>
          <t>CAPEX / Activos Fijos</t>
        </is>
      </c>
      <c r="B44" s="14" t="inlineStr">
        <is>
          <t>CAPEX / Activos Fijos</t>
        </is>
      </c>
    </row>
    <row r="45">
      <c r="A45" s="4" t="inlineStr">
        <is>
          <t>Variación % en Ventas</t>
        </is>
      </c>
      <c r="B45" s="14" t="inlineStr">
        <is>
          <t>Crecimiento en Ventas</t>
        </is>
      </c>
    </row>
    <row r="46">
      <c r="A46" s="4" t="inlineStr">
        <is>
          <t>Variación % en EBITDA</t>
        </is>
      </c>
      <c r="B46" s="14" t="inlineStr">
        <is>
          <t>Crecimiento en EBITDA</t>
        </is>
      </c>
    </row>
  </sheetData>
  <mergeCells count="6">
    <mergeCell ref="A24:L24"/>
    <mergeCell ref="A15:L15"/>
    <mergeCell ref="A42:L42"/>
    <mergeCell ref="A1:L1"/>
    <mergeCell ref="A31:L31"/>
    <mergeCell ref="A6:L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ANÁLISIS DE PUNTO DE EQUILIBRIO</t>
        </is>
      </c>
    </row>
    <row r="3">
      <c r="A3" s="10" t="inlineStr">
        <is>
          <t>DATOS DE ENTRADA</t>
        </is>
      </c>
    </row>
    <row r="4">
      <c r="A4" s="4" t="inlineStr">
        <is>
          <t>Precio de Venta Promedio Unitario:</t>
        </is>
      </c>
      <c r="B4" s="5" t="inlineStr"/>
      <c r="C4" t="inlineStr">
        <is>
          <t>$</t>
        </is>
      </c>
    </row>
    <row r="5">
      <c r="A5" s="4" t="inlineStr">
        <is>
          <t>Costo Variable Unitario:</t>
        </is>
      </c>
      <c r="B5" s="5" t="inlineStr"/>
      <c r="C5" t="inlineStr">
        <is>
          <t>$</t>
        </is>
      </c>
    </row>
    <row r="7">
      <c r="A7" s="4" t="inlineStr">
        <is>
          <t>COSTOS FIJOS TOTALES:</t>
        </is>
      </c>
      <c r="B7" s="5" t="inlineStr"/>
    </row>
    <row r="8">
      <c r="A8" s="4" t="inlineStr">
        <is>
          <t>Gastos Administrativos:</t>
        </is>
      </c>
      <c r="B8" s="5" t="inlineStr"/>
      <c r="C8" t="inlineStr">
        <is>
          <t>$</t>
        </is>
      </c>
    </row>
    <row r="9">
      <c r="A9" s="4" t="inlineStr">
        <is>
          <t>Gastos de Ventas:</t>
        </is>
      </c>
      <c r="B9" s="5" t="inlineStr"/>
      <c r="C9" t="inlineStr">
        <is>
          <t>$</t>
        </is>
      </c>
    </row>
    <row r="10">
      <c r="A10" s="4" t="inlineStr">
        <is>
          <t>Gastos Financieros:</t>
        </is>
      </c>
      <c r="B10" s="5" t="inlineStr"/>
      <c r="C10" t="inlineStr">
        <is>
          <t>$</t>
        </is>
      </c>
    </row>
    <row r="11">
      <c r="A11" s="4" t="inlineStr">
        <is>
          <t>TOTAL COSTOS FIJOS:</t>
        </is>
      </c>
      <c r="B11" s="5" t="inlineStr"/>
      <c r="C11" t="inlineStr">
        <is>
          <t>$</t>
        </is>
      </c>
    </row>
    <row r="12">
      <c r="B12" s="31">
        <f>IFERROR(SUM(B9:B11),0)</f>
        <v/>
      </c>
    </row>
    <row r="13">
      <c r="A13" s="10" t="inlineStr">
        <is>
          <t>RESULTADOS CALCULADOS</t>
        </is>
      </c>
    </row>
    <row r="14">
      <c r="A14" s="4" t="inlineStr">
        <is>
          <t>Margen de Contribución Unitario:</t>
        </is>
      </c>
      <c r="B14" s="31">
        <f>IFERROR(B5-B6,0)</f>
        <v/>
      </c>
    </row>
    <row r="15">
      <c r="A15" s="4" t="inlineStr">
        <is>
          <t>Margen de Contribución %:</t>
        </is>
      </c>
      <c r="B15" s="22">
        <f>IFERROR(B14/B5,0)</f>
        <v/>
      </c>
    </row>
    <row r="16">
      <c r="A16" s="4" t="inlineStr">
        <is>
          <t>Punto de Equilibrio (unidades):</t>
        </is>
      </c>
      <c r="B16" s="23">
        <f>IFERROR(B12/B14,0)</f>
        <v/>
      </c>
    </row>
    <row r="17">
      <c r="A17" s="4" t="inlineStr">
        <is>
          <t>Punto de Equilibrio (valor $):</t>
        </is>
      </c>
      <c r="B17" s="31">
        <f>IFERROR(B12/B15,0)</f>
        <v/>
      </c>
    </row>
    <row r="18">
      <c r="A18" s="4" t="inlineStr">
        <is>
          <t>Ventas Actuales (unidades):</t>
        </is>
      </c>
      <c r="B18" s="31">
        <f>EERR!G5</f>
        <v/>
      </c>
    </row>
    <row r="19">
      <c r="A19" s="4" t="inlineStr">
        <is>
          <t>Margen de Seguridad:</t>
        </is>
      </c>
      <c r="B19" s="22">
        <f>IFERROR((B18-B17)/B18,0)</f>
        <v/>
      </c>
    </row>
    <row r="21">
      <c r="A21" s="10" t="inlineStr">
        <is>
          <t>ANÁLISIS DE SENSIBILIDAD</t>
        </is>
      </c>
    </row>
    <row r="22">
      <c r="A22" t="inlineStr">
        <is>
          <t>Variación del Precio de Venta</t>
        </is>
      </c>
    </row>
    <row r="23">
      <c r="A23" s="15" t="inlineStr">
        <is>
          <t>Escenario</t>
        </is>
      </c>
      <c r="B23" s="15" t="inlineStr">
        <is>
          <t>Variación</t>
        </is>
      </c>
      <c r="C23" s="15" t="inlineStr">
        <is>
          <t>Nuevo Precic PE Unidades</t>
        </is>
      </c>
      <c r="D23" s="15" t="inlineStr">
        <is>
          <t>PE Unidades</t>
        </is>
      </c>
      <c r="E23" s="15" t="inlineStr">
        <is>
          <t>PE Valor ($)</t>
        </is>
      </c>
      <c r="F23" s="15" t="inlineStr">
        <is>
          <t>Impacto</t>
        </is>
      </c>
    </row>
    <row r="24">
      <c r="A24" t="inlineStr">
        <is>
          <t>Precio -15%</t>
        </is>
      </c>
      <c r="B24" t="inlineStr">
        <is>
          <t>-15%</t>
        </is>
      </c>
      <c r="C24" s="31">
        <f>IFERROR($B$4*(1+B24),0)</f>
        <v/>
      </c>
      <c r="D24" s="23">
        <f>IFERROR($B$11/(C24-$B$5),0)</f>
        <v/>
      </c>
      <c r="E24" s="31">
        <f>IFERROR(D24*C24,0)</f>
        <v/>
      </c>
      <c r="F24" s="22">
        <f>IFERROR((D24-$B$16)/$B$16,0)</f>
        <v/>
      </c>
    </row>
    <row r="25">
      <c r="A25" t="inlineStr">
        <is>
          <t>Precio -10%</t>
        </is>
      </c>
      <c r="B25" t="inlineStr">
        <is>
          <t>-10%</t>
        </is>
      </c>
      <c r="C25" s="31">
        <f>IFERROR($B$4*(1+B25),0)</f>
        <v/>
      </c>
      <c r="D25" s="23">
        <f>IFERROR($B$11/(C25-$B$5),0)</f>
        <v/>
      </c>
      <c r="E25" s="31">
        <f>IFERROR(D25*C25,0)</f>
        <v/>
      </c>
      <c r="F25" s="22">
        <f>IFERROR((D25-$B$16)/$B$16,0)</f>
        <v/>
      </c>
    </row>
    <row r="26">
      <c r="A26" t="inlineStr">
        <is>
          <t>Precio -5%</t>
        </is>
      </c>
      <c r="B26" t="inlineStr">
        <is>
          <t>-5%</t>
        </is>
      </c>
      <c r="C26" s="31">
        <f>IFERROR($B$4*(1+B26),0)</f>
        <v/>
      </c>
      <c r="D26" s="23">
        <f>IFERROR($B$11/(C26-$B$5),0)</f>
        <v/>
      </c>
      <c r="E26" s="31">
        <f>IFERROR(D26*C26,0)</f>
        <v/>
      </c>
      <c r="F26" s="22">
        <f>IFERROR((D26-$B$16)/$B$16,0)</f>
        <v/>
      </c>
    </row>
    <row r="27">
      <c r="A27" t="inlineStr">
        <is>
          <t>Precio Base</t>
        </is>
      </c>
      <c r="B27" s="32" t="inlineStr">
        <is>
          <t>-15%</t>
        </is>
      </c>
      <c r="C27" s="31">
        <f>IFERROR($B$4*(1+B27),0)</f>
        <v/>
      </c>
      <c r="D27" s="23">
        <f>IFERROR($B$11/(C27-$B$5),0)</f>
        <v/>
      </c>
      <c r="E27" s="31">
        <f>IFERROR(D27*C27,0)</f>
        <v/>
      </c>
      <c r="F27" s="22">
        <f>IFERROR((D27-$B$16)/$B$16,0)</f>
        <v/>
      </c>
    </row>
    <row r="28">
      <c r="A28" t="inlineStr">
        <is>
          <t>Precio +5%</t>
        </is>
      </c>
      <c r="B28" s="32" t="inlineStr">
        <is>
          <t>-10%</t>
        </is>
      </c>
      <c r="C28" s="31">
        <f>IFERROR($B$4*(1+B28),0)</f>
        <v/>
      </c>
      <c r="D28" s="23">
        <f>IFERROR($B$11/(C28-$B$5),0)</f>
        <v/>
      </c>
      <c r="E28" s="31">
        <f>IFERROR(D28*C28,0)</f>
        <v/>
      </c>
      <c r="F28" s="22">
        <f>IFERROR((D28-$B$16)/$B$16,0)</f>
        <v/>
      </c>
    </row>
    <row r="29">
      <c r="A29" t="inlineStr">
        <is>
          <t>Precio +10%</t>
        </is>
      </c>
      <c r="B29" s="32" t="inlineStr">
        <is>
          <t>-5%</t>
        </is>
      </c>
      <c r="C29" s="31">
        <f>IFERROR($B$4*(1+B29),0)</f>
        <v/>
      </c>
      <c r="D29" s="23">
        <f>IFERROR($B$11/(C29-$B$5),0)</f>
        <v/>
      </c>
      <c r="E29" s="31">
        <f>IFERROR(D29*C29,0)</f>
        <v/>
      </c>
      <c r="F29" s="22">
        <f>IFERROR((D29-$B$16)/$B$16,0)</f>
        <v/>
      </c>
    </row>
    <row r="30">
      <c r="A30" t="inlineStr">
        <is>
          <t>Precio +15%</t>
        </is>
      </c>
      <c r="B30" s="32" t="inlineStr">
        <is>
          <t>0%</t>
        </is>
      </c>
      <c r="C30" s="31">
        <f>IFERROR($B$4*(1+B30),0)</f>
        <v/>
      </c>
      <c r="D30" s="23">
        <f>IFERROR($B$11/(C30-$B$5),0)</f>
        <v/>
      </c>
      <c r="E30" s="31">
        <f>IFERROR(D30*C30,0)</f>
        <v/>
      </c>
      <c r="F30" s="22">
        <f>IFERROR((D30-$B$16)/$B$16,0)</f>
        <v/>
      </c>
    </row>
    <row r="31">
      <c r="B31" s="32" t="inlineStr">
        <is>
          <t>5%</t>
        </is>
      </c>
      <c r="C31" s="31">
        <f>IFERROR(B5*(1+0.05),0)</f>
        <v/>
      </c>
      <c r="D31" s="23">
        <f>IFERROR(B12/(C31-B6),0)</f>
        <v/>
      </c>
      <c r="E31" s="31">
        <f>IFERROR(D31*C31,0)</f>
        <v/>
      </c>
      <c r="F31" s="22">
        <f>IFERROR((D31-B16)/B16,0)</f>
        <v/>
      </c>
    </row>
    <row r="32">
      <c r="B32" s="32" t="inlineStr">
        <is>
          <t>10%</t>
        </is>
      </c>
      <c r="C32" s="31">
        <f>IFERROR(B5*(1+0.1),0)</f>
        <v/>
      </c>
      <c r="D32" s="23">
        <f>IFERROR(B12/(C32-B6),0)</f>
        <v/>
      </c>
      <c r="E32" s="31">
        <f>IFERROR(D32*C32,0)</f>
        <v/>
      </c>
      <c r="F32" s="22">
        <f>IFERROR((D32-B16)/B16,0)</f>
        <v/>
      </c>
    </row>
    <row r="33">
      <c r="B33" s="32" t="inlineStr">
        <is>
          <t>15%</t>
        </is>
      </c>
      <c r="C33" s="31">
        <f>IFERROR(B5*(1+0.15),0)</f>
        <v/>
      </c>
      <c r="D33" s="23">
        <f>IFERROR(B12/(C33-B6),0)</f>
        <v/>
      </c>
      <c r="E33" s="31">
        <f>IFERROR(D33*C33,0)</f>
        <v/>
      </c>
      <c r="F33" s="22">
        <f>IFERROR((D33-B16)/B16,0)</f>
        <v/>
      </c>
    </row>
  </sheetData>
  <mergeCells count="5">
    <mergeCell ref="A13:F13"/>
    <mergeCell ref="A1:F1"/>
    <mergeCell ref="A22:F22"/>
    <mergeCell ref="A3:F3"/>
    <mergeCell ref="A21:F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PROYECCIONES FINANCIERAS A 5-7 AÑOS</t>
        </is>
      </c>
    </row>
    <row r="3">
      <c r="A3" s="10" t="inlineStr">
        <is>
          <t>SUPUESTOS DE PROYECCIÓN</t>
        </is>
      </c>
    </row>
    <row r="4">
      <c r="A4" s="4" t="inlineStr">
        <is>
          <t>Tasa de Crecimiento de Ventas (anual):</t>
        </is>
      </c>
      <c r="B4" s="16" t="inlineStr">
        <is>
          <t>%</t>
        </is>
      </c>
    </row>
    <row r="5">
      <c r="A5" s="4" t="inlineStr">
        <is>
          <t>Margen Bruto Esperado:</t>
        </is>
      </c>
      <c r="B5" s="38" t="n">
        <v>0.1</v>
      </c>
    </row>
    <row r="6">
      <c r="A6" s="4" t="inlineStr">
        <is>
          <t>Gastos Administrativos (% de Ventas):</t>
        </is>
      </c>
      <c r="B6" s="38">
        <f>INDICADORES!G16</f>
        <v/>
      </c>
    </row>
    <row r="7">
      <c r="A7" s="4" t="inlineStr">
        <is>
          <t>Gastos de Ventas (% de Ventas):</t>
        </is>
      </c>
      <c r="B7" s="38" t="n">
        <v>0.15</v>
      </c>
    </row>
    <row r="8">
      <c r="A8" s="4" t="inlineStr">
        <is>
          <t>Tasa de Interés de Deuda:</t>
        </is>
      </c>
      <c r="B8" s="38" t="n">
        <v>0.1</v>
      </c>
    </row>
    <row r="9">
      <c r="A9" s="4" t="inlineStr">
        <is>
          <t>Tasa de Impuesto de Renta:</t>
        </is>
      </c>
      <c r="B9" s="16" t="inlineStr">
        <is>
          <t>35%</t>
        </is>
      </c>
    </row>
    <row r="10">
      <c r="A10" s="4" t="inlineStr">
        <is>
          <t>Días de Cartera Objetivo:</t>
        </is>
      </c>
      <c r="B10" s="16" t="inlineStr">
        <is>
          <t>días</t>
        </is>
      </c>
    </row>
    <row r="11">
      <c r="A11" s="4" t="inlineStr">
        <is>
          <t>Días de Inventario Objetivo:</t>
        </is>
      </c>
      <c r="B11" s="16" t="inlineStr">
        <is>
          <t>días</t>
        </is>
      </c>
    </row>
    <row r="12">
      <c r="A12" s="4" t="inlineStr">
        <is>
          <t>Días de Proveedores Objetivo:</t>
        </is>
      </c>
      <c r="B12" s="16" t="inlineStr">
        <is>
          <t>días</t>
        </is>
      </c>
    </row>
    <row r="13">
      <c r="A13" s="4" t="inlineStr">
        <is>
          <t>CAPEX Anual Proyectado:</t>
        </is>
      </c>
      <c r="B13" s="16" t="inlineStr">
        <is>
          <t>$</t>
        </is>
      </c>
    </row>
    <row r="16">
      <c r="A16" s="6" t="inlineStr">
        <is>
          <t>ESTADO DE RESULTADOS PROYECTADO</t>
        </is>
      </c>
    </row>
    <row r="17">
      <c r="A17" t="inlineStr">
        <is>
          <t>CONCEPTO</t>
        </is>
      </c>
      <c r="B17" s="15" t="inlineStr">
        <is>
          <t>Año 2025</t>
        </is>
      </c>
      <c r="C17" s="15" t="inlineStr">
        <is>
          <t>Año 2026</t>
        </is>
      </c>
      <c r="D17" s="15" t="inlineStr">
        <is>
          <t>Año 2027</t>
        </is>
      </c>
      <c r="E17" s="15" t="inlineStr">
        <is>
          <t>Año 2028</t>
        </is>
      </c>
      <c r="F17" s="15" t="inlineStr">
        <is>
          <t>Año 2029</t>
        </is>
      </c>
      <c r="G17" s="15" t="inlineStr">
        <is>
          <t>Año 2030</t>
        </is>
      </c>
      <c r="H17" s="15" t="inlineStr">
        <is>
          <t>Año 2031</t>
        </is>
      </c>
    </row>
    <row r="18">
      <c r="A18" s="4" t="inlineStr">
        <is>
          <t>Ingresos (Ventas)</t>
        </is>
      </c>
      <c r="B18" s="23">
        <f>IFERROR(EERR!G5*(1+$B$5),0)</f>
        <v/>
      </c>
      <c r="C18" s="23">
        <f>IFERROR(B18*(1+$B$5),0)</f>
        <v/>
      </c>
      <c r="D18" s="23">
        <f>IFERROR(C18*(1+$B$5),0)</f>
        <v/>
      </c>
      <c r="E18" s="23">
        <f>IFERROR(D18*(1+$B$5),0)</f>
        <v/>
      </c>
      <c r="F18" s="23">
        <f>IFERROR(E18*(1+$B$5),0)</f>
        <v/>
      </c>
      <c r="G18" s="23">
        <f>IFERROR(F18*(1+$B$5),0)</f>
        <v/>
      </c>
      <c r="H18" s="23">
        <f>IFERROR(G18*(1+$B$5),0)</f>
        <v/>
      </c>
    </row>
    <row r="19">
      <c r="A19" t="inlineStr">
        <is>
          <t>(-) Costo de Ventas</t>
        </is>
      </c>
      <c r="B19" s="23">
        <f>IFERROR(B18*(1-$B$6),0)</f>
        <v/>
      </c>
      <c r="C19" s="23">
        <f>IFERROR(C18*(1-$B$6),0)</f>
        <v/>
      </c>
      <c r="D19" s="23">
        <f>IFERROR(D18*(1-$B$6),0)</f>
        <v/>
      </c>
      <c r="E19" s="23">
        <f>IFERROR(E18*(1-$B$6),0)</f>
        <v/>
      </c>
      <c r="F19" s="23">
        <f>IFERROR(F18*(1-$B$6),0)</f>
        <v/>
      </c>
      <c r="G19" s="23">
        <f>IFERROR(G18*(1-$B$6),0)</f>
        <v/>
      </c>
      <c r="H19" s="23">
        <f>IFERROR(H18*(1-$B$6),0)</f>
        <v/>
      </c>
    </row>
    <row r="20">
      <c r="A20" s="4" t="inlineStr">
        <is>
          <t>Utilidad Bruta</t>
        </is>
      </c>
      <c r="B20" s="23">
        <f>IFERROR(B18-B19,0)</f>
        <v/>
      </c>
      <c r="C20" s="23">
        <f>IFERROR(C18-C19,0)</f>
        <v/>
      </c>
      <c r="D20" s="23">
        <f>IFERROR(D18-D19,0)</f>
        <v/>
      </c>
      <c r="E20" s="23">
        <f>IFERROR(E18-E19,0)</f>
        <v/>
      </c>
      <c r="F20" s="23">
        <f>IFERROR(F18-F19,0)</f>
        <v/>
      </c>
      <c r="G20" s="23">
        <f>IFERROR(G18-G19,0)</f>
        <v/>
      </c>
      <c r="H20" s="23">
        <f>IFERROR(H18-H19,0)</f>
        <v/>
      </c>
    </row>
    <row r="21">
      <c r="B21" s="23">
        <f>IFERROR(B20*(1-$B$6),0)</f>
        <v/>
      </c>
      <c r="C21" s="23">
        <f>IFERROR(C20*(1-$B$6),0)</f>
        <v/>
      </c>
      <c r="D21" s="23">
        <f>IFERROR(D20*(1-$B$6),0)</f>
        <v/>
      </c>
      <c r="E21" s="23">
        <f>IFERROR(E20*(1-$B$6),0)</f>
        <v/>
      </c>
      <c r="F21" s="23">
        <f>IFERROR(F20*(1-$B$6),0)</f>
        <v/>
      </c>
      <c r="G21" s="23">
        <f>IFERROR(G20*(1-$B$6),0)</f>
        <v/>
      </c>
      <c r="H21" s="23">
        <f>IFERROR(H20*(1-$B$6),0)</f>
        <v/>
      </c>
    </row>
    <row r="22">
      <c r="A22" t="inlineStr">
        <is>
          <t>(-) Gastos Administrativos</t>
        </is>
      </c>
      <c r="B22" s="23">
        <f>IFERROR(B18*$B$7,0)</f>
        <v/>
      </c>
      <c r="C22" s="23">
        <f>IFERROR(C18*$B$7,0)</f>
        <v/>
      </c>
      <c r="D22" s="23">
        <f>IFERROR(D18*$B$7,0)</f>
        <v/>
      </c>
      <c r="E22" s="23">
        <f>IFERROR(E18*$B$7,0)</f>
        <v/>
      </c>
      <c r="F22" s="23">
        <f>IFERROR(F18*$B$7,0)</f>
        <v/>
      </c>
      <c r="G22" s="23">
        <f>IFERROR(G18*$B$7,0)</f>
        <v/>
      </c>
      <c r="H22" s="23">
        <f>IFERROR(H18*$B$7,0)</f>
        <v/>
      </c>
    </row>
    <row r="23">
      <c r="A23" t="inlineStr">
        <is>
          <t>(-) Gastos de Ventas</t>
        </is>
      </c>
      <c r="B23" s="23">
        <f>IFERROR(B18*$B$8,0)</f>
        <v/>
      </c>
      <c r="C23" s="23">
        <f>IFERROR(C18*$B$8,0)</f>
        <v/>
      </c>
      <c r="D23" s="23">
        <f>IFERROR(D18*$B$8,0)</f>
        <v/>
      </c>
      <c r="E23" s="23">
        <f>IFERROR(E18*$B$8,0)</f>
        <v/>
      </c>
      <c r="F23" s="23">
        <f>IFERROR(F18*$B$8,0)</f>
        <v/>
      </c>
      <c r="G23" s="23">
        <f>IFERROR(G18*$B$8,0)</f>
        <v/>
      </c>
      <c r="H23" s="23">
        <f>IFERROR(H18*$B$8,0)</f>
        <v/>
      </c>
    </row>
    <row r="24">
      <c r="A24" t="inlineStr">
        <is>
          <t>(-) Depreciación</t>
        </is>
      </c>
      <c r="B24" s="23">
        <f>IFERROR(B18*0.02,0)</f>
        <v/>
      </c>
      <c r="C24" s="23">
        <f>IFERROR(C18*0.02,0)</f>
        <v/>
      </c>
      <c r="D24" s="23">
        <f>IFERROR(D18*0.02,0)</f>
        <v/>
      </c>
      <c r="E24" s="23">
        <f>IFERROR(E18*0.02,0)</f>
        <v/>
      </c>
      <c r="F24" s="23">
        <f>IFERROR(F18*0.02,0)</f>
        <v/>
      </c>
      <c r="G24" s="23">
        <f>IFERROR(G18*0.02,0)</f>
        <v/>
      </c>
      <c r="H24" s="23">
        <f>IFERROR(H18*0.02,0)</f>
        <v/>
      </c>
    </row>
    <row r="25">
      <c r="A25" s="4" t="inlineStr">
        <is>
          <t>EBITDA</t>
        </is>
      </c>
      <c r="B25" s="23">
        <f>IFERROR(B20-B22-B23,0)</f>
        <v/>
      </c>
      <c r="C25" s="23">
        <f>IFERROR(C20-C22-C23,0)</f>
        <v/>
      </c>
      <c r="D25" s="23">
        <f>IFERROR(D20-D22-D23,0)</f>
        <v/>
      </c>
      <c r="E25" s="23">
        <f>IFERROR(E20-E22-E23,0)</f>
        <v/>
      </c>
      <c r="F25" s="23">
        <f>IFERROR(F20-F22-F23,0)</f>
        <v/>
      </c>
      <c r="G25" s="23">
        <f>IFERROR(G20-G22-G23,0)</f>
        <v/>
      </c>
      <c r="H25" s="23">
        <f>IFERROR(H20-H22-H23,0)</f>
        <v/>
      </c>
    </row>
    <row r="26">
      <c r="A26" s="4" t="inlineStr">
        <is>
          <t>Utilidad Operativa (EBIT)</t>
        </is>
      </c>
      <c r="B26" s="23">
        <f>IFERROR(B25-B24,0)</f>
        <v/>
      </c>
      <c r="C26" s="23">
        <f>IFERROR(C25-C24,0)</f>
        <v/>
      </c>
      <c r="D26" s="23">
        <f>IFERROR(D25-D24,0)</f>
        <v/>
      </c>
      <c r="E26" s="23">
        <f>IFERROR(E25-E24,0)</f>
        <v/>
      </c>
      <c r="F26" s="23">
        <f>IFERROR(F25-F24,0)</f>
        <v/>
      </c>
      <c r="G26" s="23">
        <f>IFERROR(G25-G24,0)</f>
        <v/>
      </c>
      <c r="H26" s="23">
        <f>IFERROR(H25-H24,0)</f>
        <v/>
      </c>
    </row>
    <row r="27">
      <c r="B27" s="23">
        <f>IFERROR(B22-B24-B25,0)</f>
        <v/>
      </c>
      <c r="C27" s="23">
        <f>IFERROR(C22-C24-C25,0)</f>
        <v/>
      </c>
      <c r="D27" s="23">
        <f>IFERROR(D22-D24-D25,0)</f>
        <v/>
      </c>
      <c r="E27" s="23">
        <f>IFERROR(E22-E24-E25,0)</f>
        <v/>
      </c>
      <c r="F27" s="23">
        <f>IFERROR(F22-F24-F25,0)</f>
        <v/>
      </c>
      <c r="G27" s="23">
        <f>IFERROR(G22-G24-G25,0)</f>
        <v/>
      </c>
      <c r="H27" s="23">
        <f>IFERROR(H22-H24-H25,0)</f>
        <v/>
      </c>
    </row>
    <row r="28">
      <c r="A28" t="inlineStr">
        <is>
          <t>(-) Gastos Financieros</t>
        </is>
      </c>
      <c r="B28" s="23">
        <f>IFERROR(B18*0.02,0)</f>
        <v/>
      </c>
      <c r="C28" s="23">
        <f>IFERROR(C18*0.02,0)</f>
        <v/>
      </c>
      <c r="D28" s="23">
        <f>IFERROR(D18*0.02,0)</f>
        <v/>
      </c>
      <c r="E28" s="23">
        <f>IFERROR(E18*0.02,0)</f>
        <v/>
      </c>
      <c r="F28" s="23">
        <f>IFERROR(F18*0.02,0)</f>
        <v/>
      </c>
      <c r="G28" s="23">
        <f>IFERROR(G18*0.02,0)</f>
        <v/>
      </c>
      <c r="H28" s="23">
        <f>IFERROR(H18*0.02,0)</f>
        <v/>
      </c>
    </row>
    <row r="29">
      <c r="A29" s="4" t="inlineStr">
        <is>
          <t>Utilidad Antes de Impuestos</t>
        </is>
      </c>
      <c r="B29" s="23">
        <f>IFERROR(B26-B28,0)</f>
        <v/>
      </c>
      <c r="C29" s="23">
        <f>IFERROR(C26-C28,0)</f>
        <v/>
      </c>
      <c r="D29" s="23">
        <f>IFERROR(D26-D28,0)</f>
        <v/>
      </c>
      <c r="E29" s="23">
        <f>IFERROR(E26-E28,0)</f>
        <v/>
      </c>
      <c r="F29" s="23">
        <f>IFERROR(F26-F28,0)</f>
        <v/>
      </c>
      <c r="G29" s="23">
        <f>IFERROR(G26-G28,0)</f>
        <v/>
      </c>
      <c r="H29" s="23">
        <f>IFERROR(H26-H28,0)</f>
        <v/>
      </c>
    </row>
    <row r="30">
      <c r="A30" t="inlineStr">
        <is>
          <t>(-) Impuesto de Renta</t>
        </is>
      </c>
      <c r="B30" s="23">
        <f>IFERROR(B29*0.35,0)</f>
        <v/>
      </c>
      <c r="C30" s="23">
        <f>IFERROR(C29*0.35,0)</f>
        <v/>
      </c>
      <c r="D30" s="23">
        <f>IFERROR(D29*0.35,0)</f>
        <v/>
      </c>
      <c r="E30" s="23">
        <f>IFERROR(E29*0.35,0)</f>
        <v/>
      </c>
      <c r="F30" s="23">
        <f>IFERROR(F29*0.35,0)</f>
        <v/>
      </c>
      <c r="G30" s="23">
        <f>IFERROR(G29*0.35,0)</f>
        <v/>
      </c>
      <c r="H30" s="23">
        <f>IFERROR(H29*0.35,0)</f>
        <v/>
      </c>
    </row>
    <row r="31">
      <c r="A31" s="4" t="inlineStr">
        <is>
          <t>UTILIDAD NETA</t>
        </is>
      </c>
      <c r="B31" s="23">
        <f>IFERROR(B29-B30,0)</f>
        <v/>
      </c>
      <c r="C31" s="23">
        <f>IFERROR(C29-C30,0)</f>
        <v/>
      </c>
      <c r="D31" s="23">
        <f>IFERROR(D29-D30,0)</f>
        <v/>
      </c>
      <c r="E31" s="23">
        <f>IFERROR(E29-E30,0)</f>
        <v/>
      </c>
      <c r="F31" s="23">
        <f>IFERROR(F29-F30,0)</f>
        <v/>
      </c>
      <c r="G31" s="23">
        <f>IFERROR(G29-G30,0)</f>
        <v/>
      </c>
      <c r="H31" s="23">
        <f>IFERROR(H29-H30,0)</f>
        <v/>
      </c>
    </row>
    <row r="32">
      <c r="B32" s="23">
        <f>IFERROR(B31*0.35,0)</f>
        <v/>
      </c>
      <c r="C32" s="23">
        <f>IFERROR(C31*0.35,0)</f>
        <v/>
      </c>
      <c r="D32" s="23">
        <f>IFERROR(D31*0.35,0)</f>
        <v/>
      </c>
      <c r="E32" s="23">
        <f>IFERROR(E31*0.35,0)</f>
        <v/>
      </c>
      <c r="F32" s="23">
        <f>IFERROR(F31*0.35,0)</f>
        <v/>
      </c>
      <c r="G32" s="23">
        <f>IFERROR(G31*0.35,0)</f>
        <v/>
      </c>
      <c r="H32" s="23">
        <f>IFERROR(H31*0.35,0)</f>
        <v/>
      </c>
    </row>
    <row r="33">
      <c r="B33" s="23">
        <f>IFERROR(B31-B32,0)</f>
        <v/>
      </c>
      <c r="C33" s="23">
        <f>IFERROR(C31-C32,0)</f>
        <v/>
      </c>
      <c r="D33" s="23">
        <f>IFERROR(D31-D32,0)</f>
        <v/>
      </c>
      <c r="E33" s="23">
        <f>IFERROR(E31-E32,0)</f>
        <v/>
      </c>
      <c r="F33" s="23">
        <f>IFERROR(F31-F32,0)</f>
        <v/>
      </c>
      <c r="G33" s="23">
        <f>IFERROR(G31-G32,0)</f>
        <v/>
      </c>
      <c r="H33" s="23">
        <f>IFERROR(H31-H32,0)</f>
        <v/>
      </c>
    </row>
  </sheetData>
  <mergeCells count="3">
    <mergeCell ref="A3:L3"/>
    <mergeCell ref="A16:L16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VALORACIÓN DE LA EMPRESA</t>
        </is>
      </c>
    </row>
    <row r="3">
      <c r="A3" s="17" t="inlineStr">
        <is>
          <t>CÁLCULO DEL WACC (Costo Promedio Ponderado de Capital)</t>
        </is>
      </c>
    </row>
    <row r="4">
      <c r="A4" s="4" t="inlineStr">
        <is>
          <t>Costo del Patrimonio (Ke) - CAPM:</t>
        </is>
      </c>
      <c r="B4" s="5" t="inlineStr"/>
    </row>
    <row r="5">
      <c r="A5" t="inlineStr">
        <is>
          <t xml:space="preserve">  Tasa Libre de Riesgo (Rf):</t>
        </is>
      </c>
      <c r="B5" t="inlineStr">
        <is>
          <t>%</t>
        </is>
      </c>
    </row>
    <row r="6">
      <c r="A6" t="inlineStr">
        <is>
          <t xml:space="preserve">  Beta del Sector:</t>
        </is>
      </c>
      <c r="B6" s="22">
        <f>CONFIGURACIÓN!B16</f>
        <v/>
      </c>
    </row>
    <row r="7">
      <c r="A7" t="inlineStr">
        <is>
          <t xml:space="preserve">  Prima de Riesgo de Mercado:</t>
        </is>
      </c>
      <c r="B7" t="n">
        <v>1.2</v>
      </c>
    </row>
    <row r="8">
      <c r="A8" t="inlineStr">
        <is>
          <t xml:space="preserve">  Prima de Riesgo País Colombia:</t>
        </is>
      </c>
      <c r="B8" s="22" t="n">
        <v>0.08</v>
      </c>
    </row>
    <row r="9">
      <c r="A9" t="inlineStr">
        <is>
          <t xml:space="preserve">  Ke = Rf + β × (Rm - Rf) + Riesgo País</t>
        </is>
      </c>
      <c r="B9" s="22" t="n">
        <v>0.025</v>
      </c>
    </row>
    <row r="10">
      <c r="B10" s="22">
        <f>IFERROR(B6+B7*B8+B9,0)</f>
        <v/>
      </c>
    </row>
    <row r="11">
      <c r="A11" s="4" t="inlineStr">
        <is>
          <t>Costo de la Deuda (Kd):</t>
        </is>
      </c>
      <c r="B11" s="5" t="inlineStr">
        <is>
          <t>%</t>
        </is>
      </c>
    </row>
    <row r="12">
      <c r="A12" s="4" t="inlineStr">
        <is>
          <t>Tasa de Impuesto:</t>
        </is>
      </c>
      <c r="B12" s="33" t="n">
        <v>0.12</v>
      </c>
    </row>
    <row r="13">
      <c r="A13" s="4" t="inlineStr">
        <is>
          <t>Kd después de impuestos:</t>
        </is>
      </c>
      <c r="B13" s="33" t="n">
        <v>0.35</v>
      </c>
    </row>
    <row r="14">
      <c r="B14" s="22">
        <f>IFERROR(B12*(1-B13),0)</f>
        <v/>
      </c>
    </row>
    <row r="15">
      <c r="A15" s="4" t="inlineStr">
        <is>
          <t>Estructura de Capital:</t>
        </is>
      </c>
      <c r="B15" s="5" t="inlineStr"/>
    </row>
    <row r="16">
      <c r="A16" t="inlineStr">
        <is>
          <t xml:space="preserve">  Patrimonio (E):</t>
        </is>
      </c>
      <c r="B16" t="inlineStr">
        <is>
          <t>$</t>
        </is>
      </c>
    </row>
    <row r="17">
      <c r="A17" t="inlineStr">
        <is>
          <t xml:space="preserve">  Deuda (D):</t>
        </is>
      </c>
      <c r="B17" s="31">
        <f>ESF!G54</f>
        <v/>
      </c>
    </row>
    <row r="18">
      <c r="A18" t="inlineStr">
        <is>
          <t xml:space="preserve">  Total (E+D):</t>
        </is>
      </c>
      <c r="B18" s="31">
        <f>ESF!G45</f>
        <v/>
      </c>
    </row>
    <row r="19">
      <c r="A19" t="inlineStr">
        <is>
          <t xml:space="preserve">  % Patrimonio:</t>
        </is>
      </c>
      <c r="B19" s="31">
        <f>IFERROR(B17+B18,0)</f>
        <v/>
      </c>
    </row>
    <row r="20">
      <c r="A20" t="inlineStr">
        <is>
          <t xml:space="preserve">  % Deuda:</t>
        </is>
      </c>
      <c r="B20" s="22">
        <f>IFERROR(B17/B19,0)</f>
        <v/>
      </c>
    </row>
    <row r="21">
      <c r="B21" s="22">
        <f>IFERROR(B18/B19,0)</f>
        <v/>
      </c>
    </row>
    <row r="22">
      <c r="A22" s="4" t="inlineStr">
        <is>
          <t>WACC = Ke × (E/V) + Kd × (1-T) × (D/V)</t>
        </is>
      </c>
    </row>
    <row r="23">
      <c r="A23" s="4" t="inlineStr">
        <is>
          <t>WACC CALCULADO:</t>
        </is>
      </c>
      <c r="B23" s="5" t="inlineStr">
        <is>
          <t>%</t>
        </is>
      </c>
    </row>
    <row r="24">
      <c r="B24" s="34">
        <f>IFERROR(B10*B20+B14*B21,0)</f>
        <v/>
      </c>
    </row>
    <row r="25">
      <c r="A25" s="6" t="inlineStr">
        <is>
          <t>FLUJO DE CAJA LIBRE DESCONTADO</t>
        </is>
      </c>
    </row>
    <row r="27">
      <c r="A27" s="4" t="inlineStr">
        <is>
          <t>Año</t>
        </is>
      </c>
      <c r="B27" s="4" t="inlineStr">
        <is>
          <t>FCF</t>
        </is>
      </c>
      <c r="C27" s="4" t="inlineStr">
        <is>
          <t>Factor Desc.</t>
        </is>
      </c>
      <c r="D27" s="4" t="inlineStr">
        <is>
          <t>FCF Descontado</t>
        </is>
      </c>
      <c r="E27" s="4" t="inlineStr">
        <is>
          <t>FCF Acum.</t>
        </is>
      </c>
    </row>
    <row r="28"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</row>
    <row r="29">
      <c r="B29" s="31">
        <f>IFERROR(PROYECCIONES!B26*0.65,0)</f>
        <v/>
      </c>
      <c r="C29" s="31">
        <f>IFERROR(PROYECCIONES!C26*0.65,0)</f>
        <v/>
      </c>
      <c r="D29" s="31">
        <f>IFERROR(PROYECCIONES!D26*0.65,0)</f>
        <v/>
      </c>
      <c r="E29" s="31">
        <f>IFERROR(PROYECCIONES!E26*0.65,0)</f>
        <v/>
      </c>
      <c r="F29" s="31">
        <f>IFERROR(PROYECCIONES!F26*0.65,0)</f>
        <v/>
      </c>
      <c r="G29" s="31">
        <f>IFERROR(PROYECCIONES!G26*0.65,0)</f>
        <v/>
      </c>
      <c r="H29" s="31">
        <f>IFERROR(PROYECCIONES!H26*0.65,0)</f>
        <v/>
      </c>
    </row>
    <row r="30">
      <c r="B30" s="35">
        <f>IFERROR(1/((1+$B$24)^1),0)</f>
        <v/>
      </c>
      <c r="C30" s="35">
        <f>IFERROR(1/((1+$B$24)^2),0)</f>
        <v/>
      </c>
      <c r="D30" s="35">
        <f>IFERROR(1/((1+$B$24)^3),0)</f>
        <v/>
      </c>
      <c r="E30" s="35">
        <f>IFERROR(1/((1+$B$24)^4),0)</f>
        <v/>
      </c>
      <c r="F30" s="35">
        <f>IFERROR(1/((1+$B$24)^5),0)</f>
        <v/>
      </c>
      <c r="G30" s="35">
        <f>IFERROR(1/((1+$B$24)^6),0)</f>
        <v/>
      </c>
      <c r="H30" s="35">
        <f>IFERROR(1/((1+$B$24)^7),0)</f>
        <v/>
      </c>
    </row>
    <row r="31">
      <c r="B31" s="31">
        <f>IFERROR(B29*B30,0)</f>
        <v/>
      </c>
      <c r="C31" s="31">
        <f>IFERROR(C29*C30,0)</f>
        <v/>
      </c>
      <c r="D31" s="31">
        <f>IFERROR(D29*D30,0)</f>
        <v/>
      </c>
      <c r="E31" s="31">
        <f>IFERROR(E29*E30,0)</f>
        <v/>
      </c>
      <c r="F31" s="31">
        <f>IFERROR(F29*F30,0)</f>
        <v/>
      </c>
      <c r="G31" s="31">
        <f>IFERROR(G29*G30,0)</f>
        <v/>
      </c>
      <c r="H31" s="31">
        <f>IFERROR(H29*H30,0)</f>
        <v/>
      </c>
    </row>
    <row r="32">
      <c r="B32" s="35">
        <f>IFERROR(1/((1+$B$24)^1),0)</f>
        <v/>
      </c>
      <c r="C32" s="35">
        <f>IFERROR(1/((1+$B$24)^2),0)</f>
        <v/>
      </c>
      <c r="D32" s="35">
        <f>IFERROR(1/((1+$B$24)^3),0)</f>
        <v/>
      </c>
      <c r="E32" s="35">
        <f>IFERROR(1/((1+$B$24)^4),0)</f>
        <v/>
      </c>
      <c r="F32" s="35">
        <f>IFERROR(1/((1+$B$24)^5),0)</f>
        <v/>
      </c>
      <c r="G32" s="35">
        <f>IFERROR(1/((1+$B$24)^6),0)</f>
        <v/>
      </c>
      <c r="H32" s="35">
        <f>IFERROR(1/((1+$B$24)^7),0)</f>
        <v/>
      </c>
    </row>
    <row r="33">
      <c r="A33" s="4" t="inlineStr">
        <is>
          <t>SUMA FCF Descontados:</t>
        </is>
      </c>
      <c r="B33" s="36">
        <f>IFERROR(SUM(B31:H31),0)</f>
        <v/>
      </c>
      <c r="C33" s="31">
        <f>IFERROR(C31*C32,0)</f>
        <v/>
      </c>
      <c r="D33" s="31">
        <f>IFERROR(D31*D32,0)</f>
        <v/>
      </c>
      <c r="E33" s="31">
        <f>IFERROR(E31*E32,0)</f>
        <v/>
      </c>
      <c r="F33" s="31">
        <f>IFERROR(F31*F32,0)</f>
        <v/>
      </c>
      <c r="G33" s="31">
        <f>IFERROR(G31*G32,0)</f>
        <v/>
      </c>
      <c r="H33" s="31">
        <f>IFERROR(H31*H32,0)</f>
        <v/>
      </c>
    </row>
    <row r="35">
      <c r="A35" s="4" t="inlineStr">
        <is>
          <t>Valor Terminal (Perpetuidad):</t>
        </is>
      </c>
      <c r="B35" s="36">
        <f>IFERROR(SUM(B33:H33),0)</f>
        <v/>
      </c>
      <c r="C35" s="5" t="inlineStr">
        <is>
          <t>2.5%</t>
        </is>
      </c>
    </row>
    <row r="36">
      <c r="A36" t="inlineStr">
        <is>
          <t>Tasa de crecimiento perpetuo:</t>
        </is>
      </c>
      <c r="B36" s="22" t="n">
        <v>0.025</v>
      </c>
    </row>
    <row r="37">
      <c r="A37" t="inlineStr">
        <is>
          <t>VT =</t>
        </is>
      </c>
      <c r="B37" s="31">
        <f>IFERROR(H29*(1+B36)/(B24-B36),0)</f>
        <v/>
      </c>
    </row>
    <row r="38">
      <c r="A38" t="inlineStr">
        <is>
          <t>VT Descontado =</t>
        </is>
      </c>
      <c r="B38" s="36">
        <f>IFERROR(B37*H30,0)</f>
        <v/>
      </c>
      <c r="C38" s="22" t="n">
        <v>0.025</v>
      </c>
    </row>
    <row r="39">
      <c r="B39" s="31">
        <f>IFERROR(B38*H32,0)</f>
        <v/>
      </c>
    </row>
    <row r="40">
      <c r="A40" s="39" t="inlineStr">
        <is>
          <t>VALOR TOTAL DE LA EMPRESA:</t>
        </is>
      </c>
      <c r="B40" s="37">
        <f>IFERROR(B33+B38,0)</f>
        <v/>
      </c>
    </row>
    <row r="41">
      <c r="B41" s="37">
        <f>IFERROR(B35+B39,0)</f>
        <v/>
      </c>
    </row>
  </sheetData>
  <mergeCells count="3">
    <mergeCell ref="A25:H25"/>
    <mergeCell ref="A3:H3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BENCHMARKS DE INDUSTRIA (Damodaran)</t>
        </is>
      </c>
    </row>
    <row r="2">
      <c r="A2" s="14" t="inlineStr">
        <is>
          <t>Fuente: Aswath Damodaran - Stern School of Business, NYU</t>
        </is>
      </c>
    </row>
    <row r="4">
      <c r="A4" s="8" t="inlineStr">
        <is>
          <t>Sector</t>
        </is>
      </c>
      <c r="B4" s="8" t="inlineStr">
        <is>
          <t>Margen Bruto</t>
        </is>
      </c>
      <c r="C4" s="8" t="inlineStr">
        <is>
          <t>Margen EBITDA</t>
        </is>
      </c>
      <c r="D4" s="8" t="inlineStr">
        <is>
          <t>Margen Neto</t>
        </is>
      </c>
      <c r="E4" s="8" t="inlineStr">
        <is>
          <t>ROE</t>
        </is>
      </c>
      <c r="F4" s="8" t="inlineStr">
        <is>
          <t>ROA</t>
        </is>
      </c>
      <c r="G4" s="8" t="inlineStr">
        <is>
          <t>Beta</t>
        </is>
      </c>
      <c r="H4" s="8" t="inlineStr">
        <is>
          <t>Razón Corriente</t>
        </is>
      </c>
      <c r="I4" s="8" t="inlineStr">
        <is>
          <t>Días Inv.</t>
        </is>
      </c>
      <c r="J4" s="8" t="inlineStr">
        <is>
          <t>EV/Sales</t>
        </is>
      </c>
      <c r="K4" s="8" t="inlineStr">
        <is>
          <t>EV/EBITDA</t>
        </is>
      </c>
    </row>
    <row r="5">
      <c r="A5" t="inlineStr">
        <is>
          <t>Manufactura</t>
        </is>
      </c>
      <c r="B5" t="inlineStr">
        <is>
          <t>28%</t>
        </is>
      </c>
      <c r="C5" t="inlineStr">
        <is>
          <t>15%</t>
        </is>
      </c>
      <c r="D5" t="inlineStr">
        <is>
          <t>8%</t>
        </is>
      </c>
      <c r="E5" t="inlineStr">
        <is>
          <t>12%</t>
        </is>
      </c>
      <c r="F5" t="inlineStr">
        <is>
          <t>6%</t>
        </is>
      </c>
      <c r="G5" t="inlineStr">
        <is>
          <t>1.05</t>
        </is>
      </c>
      <c r="H5" t="inlineStr">
        <is>
          <t>1.8</t>
        </is>
      </c>
      <c r="I5" t="inlineStr">
        <is>
          <t>45</t>
        </is>
      </c>
      <c r="J5" t="inlineStr">
        <is>
          <t>1.2x</t>
        </is>
      </c>
      <c r="K5" t="inlineStr">
        <is>
          <t>8.5x</t>
        </is>
      </c>
    </row>
    <row r="6">
      <c r="A6" t="inlineStr">
        <is>
          <t>Servicios</t>
        </is>
      </c>
      <c r="B6" t="inlineStr">
        <is>
          <t>45%</t>
        </is>
      </c>
      <c r="C6" t="inlineStr">
        <is>
          <t>22%</t>
        </is>
      </c>
      <c r="D6" t="inlineStr">
        <is>
          <t>12%</t>
        </is>
      </c>
      <c r="E6" t="inlineStr">
        <is>
          <t>18%</t>
        </is>
      </c>
      <c r="F6" t="inlineStr">
        <is>
          <t>9%</t>
        </is>
      </c>
      <c r="G6" t="inlineStr">
        <is>
          <t>0.95</t>
        </is>
      </c>
      <c r="H6" t="inlineStr">
        <is>
          <t>1.5</t>
        </is>
      </c>
      <c r="I6" t="inlineStr">
        <is>
          <t>15</t>
        </is>
      </c>
      <c r="J6" t="inlineStr">
        <is>
          <t>2.0x</t>
        </is>
      </c>
      <c r="K6" t="inlineStr">
        <is>
          <t>10.0x</t>
        </is>
      </c>
    </row>
    <row r="7">
      <c r="A7" t="inlineStr">
        <is>
          <t>Comercio / Retail</t>
        </is>
      </c>
      <c r="B7" t="inlineStr">
        <is>
          <t>25%</t>
        </is>
      </c>
      <c r="C7" t="inlineStr">
        <is>
          <t>10%</t>
        </is>
      </c>
      <c r="D7" t="inlineStr">
        <is>
          <t>5%</t>
        </is>
      </c>
      <c r="E7" t="inlineStr">
        <is>
          <t>15%</t>
        </is>
      </c>
      <c r="F7" t="inlineStr">
        <is>
          <t>7%</t>
        </is>
      </c>
      <c r="G7" t="inlineStr">
        <is>
          <t>1.10</t>
        </is>
      </c>
      <c r="H7" t="inlineStr">
        <is>
          <t>1.6</t>
        </is>
      </c>
      <c r="I7" t="inlineStr">
        <is>
          <t>60</t>
        </is>
      </c>
      <c r="J7" t="inlineStr">
        <is>
          <t>0.8x</t>
        </is>
      </c>
      <c r="K7" t="inlineStr">
        <is>
          <t>7.5x</t>
        </is>
      </c>
    </row>
    <row r="8">
      <c r="A8" t="inlineStr">
        <is>
          <t>Tecnología / Software</t>
        </is>
      </c>
      <c r="B8" t="inlineStr">
        <is>
          <t>75%</t>
        </is>
      </c>
      <c r="C8" t="inlineStr">
        <is>
          <t>35%</t>
        </is>
      </c>
      <c r="D8" t="inlineStr">
        <is>
          <t>18%</t>
        </is>
      </c>
      <c r="E8" t="inlineStr">
        <is>
          <t>25%</t>
        </is>
      </c>
      <c r="F8" t="inlineStr">
        <is>
          <t>12%</t>
        </is>
      </c>
      <c r="G8" t="inlineStr">
        <is>
          <t>1.25</t>
        </is>
      </c>
      <c r="H8" t="inlineStr">
        <is>
          <t>2.5</t>
        </is>
      </c>
      <c r="I8" t="inlineStr">
        <is>
          <t>10</t>
        </is>
      </c>
      <c r="J8" t="inlineStr">
        <is>
          <t>5.0x</t>
        </is>
      </c>
      <c r="K8" t="inlineStr">
        <is>
          <t>15.0x</t>
        </is>
      </c>
    </row>
    <row r="9">
      <c r="A9" t="inlineStr">
        <is>
          <t>Agroindustria</t>
        </is>
      </c>
      <c r="B9" t="inlineStr">
        <is>
          <t>22%</t>
        </is>
      </c>
      <c r="C9" t="inlineStr">
        <is>
          <t>12%</t>
        </is>
      </c>
      <c r="D9" t="inlineStr">
        <is>
          <t>6%</t>
        </is>
      </c>
      <c r="E9" t="inlineStr">
        <is>
          <t>10%</t>
        </is>
      </c>
      <c r="F9" t="inlineStr">
        <is>
          <t>5%</t>
        </is>
      </c>
      <c r="G9" t="inlineStr">
        <is>
          <t>0.90</t>
        </is>
      </c>
      <c r="H9" t="inlineStr">
        <is>
          <t>1.7</t>
        </is>
      </c>
      <c r="I9" t="inlineStr">
        <is>
          <t>90</t>
        </is>
      </c>
      <c r="J9" t="inlineStr">
        <is>
          <t>1.0x</t>
        </is>
      </c>
      <c r="K9" t="inlineStr">
        <is>
          <t>9.0x</t>
        </is>
      </c>
    </row>
    <row r="10">
      <c r="A10" t="inlineStr">
        <is>
          <t>Salud / Healthcare</t>
        </is>
      </c>
      <c r="B10" t="inlineStr">
        <is>
          <t>55%</t>
        </is>
      </c>
      <c r="C10" t="inlineStr">
        <is>
          <t>25%</t>
        </is>
      </c>
      <c r="D10" t="inlineStr">
        <is>
          <t>14%</t>
        </is>
      </c>
      <c r="E10" t="inlineStr">
        <is>
          <t>20%</t>
        </is>
      </c>
      <c r="F10" t="inlineStr">
        <is>
          <t>10%</t>
        </is>
      </c>
      <c r="G10" t="inlineStr">
        <is>
          <t>0.85</t>
        </is>
      </c>
      <c r="H10" t="inlineStr">
        <is>
          <t>2.0</t>
        </is>
      </c>
      <c r="I10" t="inlineStr">
        <is>
          <t>30</t>
        </is>
      </c>
      <c r="J10" t="inlineStr">
        <is>
          <t>2.5x</t>
        </is>
      </c>
      <c r="K10" t="inlineStr">
        <is>
          <t>12.0x</t>
        </is>
      </c>
    </row>
    <row r="11">
      <c r="A11" t="inlineStr">
        <is>
          <t>Construcción</t>
        </is>
      </c>
      <c r="B11" t="inlineStr">
        <is>
          <t>18%</t>
        </is>
      </c>
      <c r="C11" t="inlineStr">
        <is>
          <t>8%</t>
        </is>
      </c>
      <c r="D11" t="inlineStr">
        <is>
          <t>4%</t>
        </is>
      </c>
      <c r="E11" t="inlineStr">
        <is>
          <t>12%</t>
        </is>
      </c>
      <c r="F11" t="inlineStr">
        <is>
          <t>5%</t>
        </is>
      </c>
      <c r="G11" t="inlineStr">
        <is>
          <t>1.15</t>
        </is>
      </c>
      <c r="H11" t="inlineStr">
        <is>
          <t>1.4</t>
        </is>
      </c>
      <c r="I11" t="inlineStr">
        <is>
          <t>75</t>
        </is>
      </c>
      <c r="J11" t="inlineStr">
        <is>
          <t>0.9x</t>
        </is>
      </c>
      <c r="K11" t="inlineStr">
        <is>
          <t>8.0x</t>
        </is>
      </c>
    </row>
    <row r="14">
      <c r="A14" s="6" t="inlineStr">
        <is>
          <t>COMPARACIÓN: EMPRESA VS INDUSTRIA</t>
        </is>
      </c>
    </row>
    <row r="16">
      <c r="A16" s="15" t="inlineStr">
        <is>
          <t>Indicador</t>
        </is>
      </c>
      <c r="B16" s="15" t="inlineStr">
        <is>
          <t>Empresa</t>
        </is>
      </c>
      <c r="C16" s="15" t="inlineStr">
        <is>
          <t>Industria</t>
        </is>
      </c>
      <c r="D16" s="15" t="inlineStr">
        <is>
          <t>Brecha</t>
        </is>
      </c>
      <c r="E16" s="15" t="inlineStr">
        <is>
          <t>Semáforo</t>
        </is>
      </c>
      <c r="F16" s="15" t="inlineStr">
        <is>
          <t>Comentario</t>
        </is>
      </c>
    </row>
    <row r="17">
      <c r="A17" s="4" t="inlineStr">
        <is>
          <t>Margen Bruto</t>
        </is>
      </c>
      <c r="B17" s="22">
        <f>INDICADORES!G16</f>
        <v/>
      </c>
      <c r="D17" s="22">
        <f>IFERROR(B17-C17,0)</f>
        <v/>
      </c>
      <c r="E17">
        <f>IF(D17&gt;0,"🟢 Por encima",IF(D17=0,"🟡 Igual","🔴 Por debajo"))</f>
        <v/>
      </c>
    </row>
    <row r="18">
      <c r="A18" s="4" t="inlineStr">
        <is>
          <t>Margen EBITDA</t>
        </is>
      </c>
      <c r="B18" s="22">
        <f>INDICADORES!G17</f>
        <v/>
      </c>
      <c r="D18" s="22">
        <f>IFERROR(B18-C18,0)</f>
        <v/>
      </c>
      <c r="E18">
        <f>IF(D18&gt;0,"🟢 Por encima",IF(D18=0,"🟡 Igual","🔴 Por debajo"))</f>
        <v/>
      </c>
    </row>
    <row r="19">
      <c r="A19" s="4" t="inlineStr">
        <is>
          <t>Margen Neto</t>
        </is>
      </c>
      <c r="B19" s="22">
        <f>INDICADORES!G19</f>
        <v/>
      </c>
      <c r="D19" s="22">
        <f>IFERROR(B19-C19,0)</f>
        <v/>
      </c>
      <c r="E19">
        <f>IF(D19&gt;0,"🟢 Por encima",IF(D19=0,"🟡 Igual","🔴 Por debajo"))</f>
        <v/>
      </c>
    </row>
    <row r="20">
      <c r="A20" s="4" t="inlineStr">
        <is>
          <t>ROE</t>
        </is>
      </c>
      <c r="B20" s="22">
        <f>INDICADORES!G21</f>
        <v/>
      </c>
      <c r="D20" s="22">
        <f>IFERROR(B20-C20,0)</f>
        <v/>
      </c>
      <c r="E20">
        <f>IF(D20&gt;0,"🟢 Por encima",IF(D20=0,"🟡 Igual","🔴 Por debajo"))</f>
        <v/>
      </c>
    </row>
    <row r="21">
      <c r="A21" s="4" t="inlineStr">
        <is>
          <t>ROA</t>
        </is>
      </c>
      <c r="B21" s="22">
        <f>INDICADORES!G20</f>
        <v/>
      </c>
      <c r="D21" s="22">
        <f>IFERROR(B21-C21,0)</f>
        <v/>
      </c>
      <c r="E21">
        <f>IF(D21&gt;0,"🟢 Por encima",IF(D21=0,"🟡 Igual","🔴 Por debajo"))</f>
        <v/>
      </c>
    </row>
    <row r="22">
      <c r="A22" s="4" t="inlineStr">
        <is>
          <t>Razón Corriente</t>
        </is>
      </c>
      <c r="B22" s="22">
        <f>INDICADORES!G7</f>
        <v/>
      </c>
      <c r="D22" s="22">
        <f>IFERROR(B22-C22,0)</f>
        <v/>
      </c>
      <c r="E22">
        <f>IF(D22&gt;0,"🟢 Por encima",IF(D22=0,"🟡 Igual","🔴 Por debajo"))</f>
        <v/>
      </c>
    </row>
    <row r="23">
      <c r="A23" s="4" t="inlineStr">
        <is>
          <t>Nivel Endeudamiento</t>
        </is>
      </c>
      <c r="B23" s="22">
        <f>INDICADORES!G25</f>
        <v/>
      </c>
      <c r="D23" s="22">
        <f>IFERROR(B23-C23,0)</f>
        <v/>
      </c>
      <c r="E23">
        <f>IF(D23&gt;0,"🟢 Por encima",IF(D23=0,"🟡 Igual","🔴 Por debajo"))</f>
        <v/>
      </c>
    </row>
  </sheetData>
  <mergeCells count="3">
    <mergeCell ref="A14:F14"/>
    <mergeCell ref="A2:L2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selection activeCell="A1" sqref="A1"/>
    </sheetView>
  </sheetViews>
  <sheetFormatPr baseColWidth="8" defaultRowHeight="15"/>
  <cols>
    <col width="100" customWidth="1" min="1" max="1"/>
    <col hidden="1" width="13" customWidth="1" min="10" max="10"/>
  </cols>
  <sheetData>
    <row r="1">
      <c r="A1" s="1" t="inlineStr">
        <is>
          <t>DIAGNÓSTICO FINANCIERO AUTOMÁTICO</t>
        </is>
      </c>
      <c r="J1">
        <f>INDICADORES!G7</f>
        <v/>
      </c>
    </row>
    <row r="2">
      <c r="J2">
        <f>INDICADORES!G19</f>
        <v/>
      </c>
    </row>
    <row r="3">
      <c r="A3" s="18">
        <f>CONCATENATE("=== DIAGNÓSTICO FINANCIERO DE ",UPPER(CONFIGURACIÓN!B5)," ===")</f>
        <v/>
      </c>
      <c r="J3">
        <f>INDICADORES!G25</f>
        <v/>
      </c>
    </row>
    <row r="4">
      <c r="A4">
        <f>CONCATENATE("Sector: ",CONFIGURACIÓN!B7)</f>
        <v/>
      </c>
      <c r="J4">
        <f>INDICADORES!G21</f>
        <v/>
      </c>
    </row>
    <row r="5">
      <c r="A5">
        <f>CONCATENATE("Período analizado: 2022 - ",CONFIGURACIÓN!B11)</f>
        <v/>
      </c>
      <c r="J5">
        <f>INDICADORES!G39</f>
        <v/>
      </c>
    </row>
    <row r="6">
      <c r="A6">
        <f>CONCATENATE("Fecha de elaboración: ",TEXT(TODAY(),"dd/mm/yyyy"))</f>
        <v/>
      </c>
    </row>
    <row r="7"/>
    <row r="8">
      <c r="A8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9"/>
    <row r="10">
      <c r="A10" s="10" t="inlineStr">
        <is>
          <t>1. RESUMEN EJECUTIVO</t>
        </is>
      </c>
    </row>
    <row r="11">
      <c r="A11" s="19" t="inlineStr">
        <is>
          <t>────────────────────────────────────────────────────────────</t>
        </is>
      </c>
    </row>
    <row r="12"/>
    <row r="13">
      <c r="A13" t="inlineStr">
        <is>
          <t>[Generar automáticamente un párrafo de 3-4 oraciones resumiendo la situación general]</t>
        </is>
      </c>
    </row>
    <row r="14"/>
    <row r="15"/>
    <row r="16">
      <c r="A16" s="10" t="inlineStr">
        <is>
          <t>2. ANÁLISIS DE LIQUIDEZ</t>
        </is>
      </c>
    </row>
    <row r="17">
      <c r="A17" s="19" t="inlineStr">
        <is>
          <t>────────────────────────────────────────────────────────────</t>
        </is>
      </c>
    </row>
    <row r="18"/>
    <row r="19">
      <c r="A19" s="10" t="inlineStr">
        <is>
          <t>2.1 Razón Corriente</t>
        </is>
      </c>
    </row>
    <row r="20">
      <c r="A20" t="inlineStr">
        <is>
          <t>Valor actual: [VALOR]</t>
        </is>
      </c>
    </row>
    <row r="21">
      <c r="A21" t="inlineStr">
        <is>
          <t>Interpretación: [TEXTO CONDICIONAL BASADO EN VALOR]</t>
        </is>
      </c>
    </row>
    <row r="22"/>
    <row r="23">
      <c r="A23" s="10" t="inlineStr">
        <is>
          <t>2.2 Prueba Ácida</t>
        </is>
      </c>
    </row>
    <row r="24">
      <c r="A24" t="inlineStr">
        <is>
          <t>Valor actual: [VALOR]</t>
        </is>
      </c>
    </row>
    <row r="25">
      <c r="A25" t="inlineStr">
        <is>
          <t>Interpretación: [TEXTO CONDICIONAL]</t>
        </is>
      </c>
    </row>
    <row r="26"/>
    <row r="27">
      <c r="A27" s="10" t="inlineStr">
        <is>
          <t>2.3 Capital de Trabajo</t>
        </is>
      </c>
    </row>
    <row r="28">
      <c r="A28" t="inlineStr">
        <is>
          <t>Valor actual: [VALOR]</t>
        </is>
      </c>
    </row>
    <row r="29">
      <c r="A29" t="inlineStr">
        <is>
          <t>Interpretación: [TEXTO CONDICIONAL]</t>
        </is>
      </c>
    </row>
    <row r="30"/>
    <row r="31"/>
    <row r="32">
      <c r="A32" s="10" t="inlineStr">
        <is>
          <t>3. ANÁLISIS DE RENTABILIDAD</t>
        </is>
      </c>
    </row>
    <row r="33">
      <c r="A33" s="19" t="inlineStr">
        <is>
          <t>────────────────────────────────────────────────────────────</t>
        </is>
      </c>
    </row>
    <row r="34"/>
    <row r="35">
      <c r="A35" s="10" t="inlineStr">
        <is>
          <t>3.1 Margen Bruto</t>
        </is>
      </c>
    </row>
    <row r="36">
      <c r="A36" t="inlineStr">
        <is>
          <t>Valor actual: [VALOR]</t>
        </is>
      </c>
    </row>
    <row r="37">
      <c r="A37" t="inlineStr">
        <is>
          <t>Interpretación: [TEXTO CONDICIONAL]</t>
        </is>
      </c>
    </row>
    <row r="38"/>
    <row r="39">
      <c r="A39" s="10" t="inlineStr">
        <is>
          <t>3.2 Margen EBITDA</t>
        </is>
      </c>
    </row>
    <row r="40">
      <c r="A40" t="inlineStr">
        <is>
          <t>Valor actual: [VALOR]</t>
        </is>
      </c>
    </row>
    <row r="41">
      <c r="A41" t="inlineStr">
        <is>
          <t>Interpretación: [TEXTO CONDICIONAL]</t>
        </is>
      </c>
    </row>
    <row r="42"/>
    <row r="43">
      <c r="A43" s="10" t="inlineStr">
        <is>
          <t>3.3 Margen Neto</t>
        </is>
      </c>
    </row>
    <row r="44">
      <c r="A44" t="inlineStr">
        <is>
          <t>Valor actual: [VALOR]</t>
        </is>
      </c>
    </row>
    <row r="45">
      <c r="A45" t="inlineStr">
        <is>
          <t>Interpretación: [TEXTO CONDICIONAL]</t>
        </is>
      </c>
    </row>
    <row r="46"/>
    <row r="47">
      <c r="A47" s="10" t="inlineStr">
        <is>
          <t>3.4 ROE (Retorno sobre Patrimonio)</t>
        </is>
      </c>
    </row>
    <row r="48">
      <c r="A48" t="inlineStr">
        <is>
          <t>Valor actual: [VALOR]</t>
        </is>
      </c>
    </row>
    <row r="49">
      <c r="A49" t="inlineStr">
        <is>
          <t>Interpretación: [TEXTO CONDICIONAL]</t>
        </is>
      </c>
    </row>
    <row r="50"/>
    <row r="51"/>
    <row r="52">
      <c r="A52" s="10" t="inlineStr">
        <is>
          <t>4. ANÁLISIS DE ENDEUDAMIENTO</t>
        </is>
      </c>
    </row>
    <row r="53">
      <c r="A53" s="19" t="inlineStr">
        <is>
          <t>────────────────────────────────────────────────────────────</t>
        </is>
      </c>
    </row>
    <row r="54"/>
    <row r="55">
      <c r="A55" s="10" t="inlineStr">
        <is>
          <t>4.1 Nivel de Endeudamiento</t>
        </is>
      </c>
    </row>
    <row r="56">
      <c r="A56" t="inlineStr">
        <is>
          <t>Valor actual: [VALOR]</t>
        </is>
      </c>
    </row>
    <row r="57">
      <c r="A57" t="inlineStr">
        <is>
          <t>Interpretación: [TEXTO CONDICIONAL]</t>
        </is>
      </c>
    </row>
    <row r="58"/>
    <row r="59">
      <c r="A59" s="10" t="inlineStr">
        <is>
          <t>4.2 Cobertura de Intereses</t>
        </is>
      </c>
    </row>
    <row r="60">
      <c r="A60" t="inlineStr">
        <is>
          <t>Valor actual: [VALOR]</t>
        </is>
      </c>
    </row>
    <row r="61">
      <c r="A61" t="inlineStr">
        <is>
          <t>Interpretación: [TEXTO CONDICIONAL]</t>
        </is>
      </c>
    </row>
    <row r="62"/>
    <row r="63"/>
    <row r="64">
      <c r="A64" s="10" t="inlineStr">
        <is>
          <t>5. ANÁLISIS DEL CICLO DE EFECTIVO</t>
        </is>
      </c>
    </row>
    <row r="65">
      <c r="A65" s="19" t="inlineStr">
        <is>
          <t>────────────────────────────────────────────────────────────</t>
        </is>
      </c>
    </row>
    <row r="66"/>
    <row r="67">
      <c r="A67" t="inlineStr">
        <is>
          <t>Días de Inventario: [VALOR]</t>
        </is>
      </c>
    </row>
    <row r="68">
      <c r="A68" t="inlineStr">
        <is>
          <t>Días de Cartera: [VALOR]</t>
        </is>
      </c>
    </row>
    <row r="69">
      <c r="A69" t="inlineStr">
        <is>
          <t>Días de Proveedores: [VALOR]</t>
        </is>
      </c>
    </row>
    <row r="70">
      <c r="A70" t="inlineStr">
        <is>
          <t>Ciclo de Conversión de Efectivo: [VALOR]</t>
        </is>
      </c>
    </row>
    <row r="71"/>
    <row r="72">
      <c r="A72" t="inlineStr">
        <is>
          <t>Interpretación: [TEXTO CONDICIONAL]</t>
        </is>
      </c>
    </row>
    <row r="73"/>
    <row r="74"/>
    <row r="75">
      <c r="A75" s="10" t="inlineStr">
        <is>
          <t>6. PUNTO DE EQUILIBRIO</t>
        </is>
      </c>
    </row>
    <row r="76">
      <c r="A76" s="19" t="inlineStr">
        <is>
          <t>────────────────────────────────────────────────────────────</t>
        </is>
      </c>
    </row>
    <row r="77"/>
    <row r="78">
      <c r="A78" t="inlineStr">
        <is>
          <t>Punto de Equilibrio: [VALOR] unidades o $[VALOR]</t>
        </is>
      </c>
    </row>
    <row r="79">
      <c r="A79" t="inlineStr">
        <is>
          <t>Ventas Actuales: [VALOR]</t>
        </is>
      </c>
    </row>
    <row r="80">
      <c r="A80" t="inlineStr">
        <is>
          <t>Margen de Seguridad: [VALOR]%</t>
        </is>
      </c>
    </row>
    <row r="81"/>
    <row r="82">
      <c r="A82" t="inlineStr">
        <is>
          <t>Interpretación: [TEXTO CONDICIONAL]</t>
        </is>
      </c>
    </row>
    <row r="83"/>
    <row r="84"/>
    <row r="85">
      <c r="A85" s="10" t="inlineStr">
        <is>
          <t>7. COMPARACIÓN CON LA INDUSTRIA</t>
        </is>
      </c>
    </row>
    <row r="86">
      <c r="A86" s="19" t="inlineStr">
        <is>
          <t>────────────────────────────────────────────────────────────</t>
        </is>
      </c>
    </row>
    <row r="87"/>
    <row r="88">
      <c r="A88" t="inlineStr">
        <is>
          <t>[Tabla comparativa generada automáticamente]</t>
        </is>
      </c>
    </row>
    <row r="89"/>
    <row r="90"/>
    <row r="91">
      <c r="A91" s="10" t="inlineStr">
        <is>
          <t>8. PRINCIPALES HALLAZGOS Y ALERTAS</t>
        </is>
      </c>
    </row>
    <row r="92">
      <c r="A92" s="19" t="inlineStr">
        <is>
          <t>────────────────────────────────────────────────────────────</t>
        </is>
      </c>
    </row>
    <row r="93"/>
    <row r="94">
      <c r="A94" s="17" t="inlineStr">
        <is>
          <t>FORTALEZAS IDENTIFICADAS:</t>
        </is>
      </c>
    </row>
    <row r="95">
      <c r="A95" t="inlineStr">
        <is>
          <t>• [Fortaleza 1]</t>
        </is>
      </c>
    </row>
    <row r="96">
      <c r="A96" t="inlineStr">
        <is>
          <t>• [Fortaleza 2]</t>
        </is>
      </c>
    </row>
    <row r="97">
      <c r="A97" t="inlineStr">
        <is>
          <t>• [Fortaleza 3]</t>
        </is>
      </c>
    </row>
    <row r="98"/>
    <row r="99">
      <c r="A99" s="17" t="inlineStr">
        <is>
          <t>DEBILIDADES IDENTIFICADAS:</t>
        </is>
      </c>
    </row>
    <row r="100">
      <c r="A100" t="inlineStr">
        <is>
          <t>• [Debilidad 1]</t>
        </is>
      </c>
    </row>
    <row r="101">
      <c r="A101" t="inlineStr">
        <is>
          <t>• [Debilidad 2]</t>
        </is>
      </c>
    </row>
    <row r="102">
      <c r="A102" t="inlineStr">
        <is>
          <t>• [Debilidad 3]</t>
        </is>
      </c>
    </row>
    <row r="103"/>
    <row r="104">
      <c r="A104" s="17" t="inlineStr">
        <is>
          <t>OPORTUNIDADES DE MEJORA:</t>
        </is>
      </c>
    </row>
    <row r="105">
      <c r="A105" t="inlineStr">
        <is>
          <t>• [Oportunidad 1]</t>
        </is>
      </c>
    </row>
    <row r="106">
      <c r="A106" t="inlineStr">
        <is>
          <t>• [Oportunidad 2]</t>
        </is>
      </c>
    </row>
    <row r="107">
      <c r="A107" t="inlineStr">
        <is>
          <t>• [Oportunidad 3]</t>
        </is>
      </c>
    </row>
    <row r="108"/>
    <row r="109"/>
    <row r="110">
      <c r="A110" s="10" t="inlineStr">
        <is>
          <t>9. RECOMENDACIONES DE ACCIÓN</t>
        </is>
      </c>
    </row>
    <row r="111">
      <c r="A111" s="19" t="inlineStr">
        <is>
          <t>────────────────────────────────────────────────────────────</t>
        </is>
      </c>
    </row>
    <row r="112"/>
    <row r="113">
      <c r="A113" s="17" t="inlineStr">
        <is>
          <t>RECOMENDACIÓN 1: [Título]</t>
        </is>
      </c>
    </row>
    <row r="114">
      <c r="A114" t="inlineStr">
        <is>
          <t>Situación actual: [Descripción]</t>
        </is>
      </c>
    </row>
    <row r="115">
      <c r="A115" t="inlineStr">
        <is>
          <t>Meta propuesta: [Objetivo cuantificable]</t>
        </is>
      </c>
    </row>
    <row r="116">
      <c r="A116" t="inlineStr">
        <is>
          <t>Acciones sugeridas:</t>
        </is>
      </c>
    </row>
    <row r="117">
      <c r="A117" t="inlineStr">
        <is>
          <t xml:space="preserve">  1. [Acción específica 1]</t>
        </is>
      </c>
    </row>
    <row r="118">
      <c r="A118" t="inlineStr">
        <is>
          <t xml:space="preserve">  2. [Acción específica 2]</t>
        </is>
      </c>
    </row>
    <row r="119">
      <c r="A119" t="inlineStr">
        <is>
          <t xml:space="preserve">  3. [Acción específica 3]</t>
        </is>
      </c>
    </row>
    <row r="120">
      <c r="A120" t="inlineStr">
        <is>
          <t>Impacto esperado: [Beneficio cuantificado]</t>
        </is>
      </c>
    </row>
    <row r="121"/>
    <row r="122">
      <c r="A122" s="17" t="inlineStr">
        <is>
          <t>RECOMENDACIÓN 2: [Título]</t>
        </is>
      </c>
    </row>
    <row r="123">
      <c r="A123" t="inlineStr">
        <is>
          <t>[Similar estructura]</t>
        </is>
      </c>
    </row>
    <row r="124"/>
    <row r="125">
      <c r="A125" s="17" t="inlineStr">
        <is>
          <t>RECOMENDACIÓN 3: [Título]</t>
        </is>
      </c>
    </row>
    <row r="126">
      <c r="A126" t="inlineStr">
        <is>
          <t>[Similar estructura]</t>
        </is>
      </c>
    </row>
    <row r="127"/>
    <row r="128"/>
    <row r="129">
      <c r="A129" s="10" t="inlineStr">
        <is>
          <t>10. CONCLUSIÓN</t>
        </is>
      </c>
    </row>
    <row r="130">
      <c r="A130" s="19" t="inlineStr">
        <is>
          <t>────────────────────────────────────────────────────────────</t>
        </is>
      </c>
    </row>
    <row r="131"/>
    <row r="132">
      <c r="A132" t="inlineStr">
        <is>
          <t>[Párrafo de cierre con perspectiva general y próximos pasos]</t>
        </is>
      </c>
    </row>
    <row r="133"/>
    <row r="134">
      <c r="A134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135"/>
    <row r="136">
      <c r="A136" t="inlineStr">
        <is>
          <t>Este diagnóstico fue generado automáticamente por el Sistema Integral</t>
        </is>
      </c>
    </row>
    <row r="137">
      <c r="A137" t="inlineStr">
        <is>
          <t>de Controller Financiero. Se recomienda revisión por parte de un</t>
        </is>
      </c>
    </row>
    <row r="138">
      <c r="A138" t="inlineStr">
        <is>
          <t>profesional contable para validar interpretaciones y recomendaciones.</t>
        </is>
      </c>
    </row>
  </sheetData>
  <mergeCells count="138">
    <mergeCell ref="A130:H130"/>
    <mergeCell ref="A77:H77"/>
    <mergeCell ref="A83:H83"/>
    <mergeCell ref="A49:H49"/>
    <mergeCell ref="A138:H138"/>
    <mergeCell ref="A132:H132"/>
    <mergeCell ref="A110:H110"/>
    <mergeCell ref="A6:H6"/>
    <mergeCell ref="A119:H119"/>
    <mergeCell ref="A69:H69"/>
    <mergeCell ref="A25:H25"/>
    <mergeCell ref="A66:H66"/>
    <mergeCell ref="A118:H118"/>
    <mergeCell ref="A75:H75"/>
    <mergeCell ref="A133:H133"/>
    <mergeCell ref="A50:H50"/>
    <mergeCell ref="A3:H3"/>
    <mergeCell ref="A55:H55"/>
    <mergeCell ref="A86:H86"/>
    <mergeCell ref="A95:H95"/>
    <mergeCell ref="A104:H104"/>
    <mergeCell ref="A5:H5"/>
    <mergeCell ref="A32:H32"/>
    <mergeCell ref="A97:H97"/>
    <mergeCell ref="A106:H106"/>
    <mergeCell ref="A29:H29"/>
    <mergeCell ref="A134:H134"/>
    <mergeCell ref="A81:H81"/>
    <mergeCell ref="A38:H38"/>
    <mergeCell ref="A96:H96"/>
    <mergeCell ref="A121:H121"/>
    <mergeCell ref="A13:H13"/>
    <mergeCell ref="A44:H44"/>
    <mergeCell ref="A31:H31"/>
    <mergeCell ref="A58:H58"/>
    <mergeCell ref="A40:H40"/>
    <mergeCell ref="A67:H67"/>
    <mergeCell ref="A15:H15"/>
    <mergeCell ref="A24:H24"/>
    <mergeCell ref="A73:H73"/>
    <mergeCell ref="A51:H51"/>
    <mergeCell ref="A107:H107"/>
    <mergeCell ref="A82:H82"/>
    <mergeCell ref="A60:H60"/>
    <mergeCell ref="A123:H123"/>
    <mergeCell ref="A124:H124"/>
    <mergeCell ref="A7:H7"/>
    <mergeCell ref="A16:H16"/>
    <mergeCell ref="A99:H99"/>
    <mergeCell ref="A108:H108"/>
    <mergeCell ref="A84:H84"/>
    <mergeCell ref="A27:H27"/>
    <mergeCell ref="A18:H18"/>
    <mergeCell ref="A101:H101"/>
    <mergeCell ref="A2:H2"/>
    <mergeCell ref="A85:H85"/>
    <mergeCell ref="A42:H42"/>
    <mergeCell ref="A47:H47"/>
    <mergeCell ref="A126:H126"/>
    <mergeCell ref="A22:H22"/>
    <mergeCell ref="A135:H135"/>
    <mergeCell ref="A62:H62"/>
    <mergeCell ref="A122:H122"/>
    <mergeCell ref="A20:H20"/>
    <mergeCell ref="A125:H125"/>
    <mergeCell ref="A72:H72"/>
    <mergeCell ref="A28:H28"/>
    <mergeCell ref="A112:H112"/>
    <mergeCell ref="A127:H127"/>
    <mergeCell ref="A48:H48"/>
    <mergeCell ref="A30:H30"/>
    <mergeCell ref="A114:H114"/>
    <mergeCell ref="A59:H59"/>
    <mergeCell ref="A64:H64"/>
    <mergeCell ref="A98:H98"/>
    <mergeCell ref="A79:H79"/>
    <mergeCell ref="A61:H61"/>
    <mergeCell ref="A88:H88"/>
    <mergeCell ref="A70:H70"/>
    <mergeCell ref="A54:H54"/>
    <mergeCell ref="A137:H137"/>
    <mergeCell ref="A41:H41"/>
    <mergeCell ref="A90:H90"/>
    <mergeCell ref="A74:H74"/>
    <mergeCell ref="A56:H56"/>
    <mergeCell ref="A26:H26"/>
    <mergeCell ref="A71:H71"/>
    <mergeCell ref="A129:H129"/>
    <mergeCell ref="A76:H76"/>
    <mergeCell ref="A33:H33"/>
    <mergeCell ref="A116:H116"/>
    <mergeCell ref="A8:H8"/>
    <mergeCell ref="A17:H17"/>
    <mergeCell ref="A131:H131"/>
    <mergeCell ref="A100:H100"/>
    <mergeCell ref="A53:H53"/>
    <mergeCell ref="A109:H109"/>
    <mergeCell ref="A35:H35"/>
    <mergeCell ref="A63:H63"/>
    <mergeCell ref="A10:H10"/>
    <mergeCell ref="A115:H115"/>
    <mergeCell ref="A19:H19"/>
    <mergeCell ref="A68:H68"/>
    <mergeCell ref="A102:H102"/>
    <mergeCell ref="A117:H117"/>
    <mergeCell ref="A111:H111"/>
    <mergeCell ref="A34:H34"/>
    <mergeCell ref="A9:H9"/>
    <mergeCell ref="A92:H92"/>
    <mergeCell ref="A39:H39"/>
    <mergeCell ref="A36:H36"/>
    <mergeCell ref="A11:H11"/>
    <mergeCell ref="A1:H1"/>
    <mergeCell ref="A45:H45"/>
    <mergeCell ref="A94:H94"/>
    <mergeCell ref="A103:H103"/>
    <mergeCell ref="A78:H78"/>
    <mergeCell ref="A87:H87"/>
    <mergeCell ref="A65:H65"/>
    <mergeCell ref="A128:H128"/>
    <mergeCell ref="A80:H80"/>
    <mergeCell ref="A37:H37"/>
    <mergeCell ref="A46:H46"/>
    <mergeCell ref="A89:H89"/>
    <mergeCell ref="A120:H120"/>
    <mergeCell ref="A12:H12"/>
    <mergeCell ref="A136:H136"/>
    <mergeCell ref="A21:H21"/>
    <mergeCell ref="A105:H105"/>
    <mergeCell ref="A57:H57"/>
    <mergeCell ref="A113:H113"/>
    <mergeCell ref="A14:H14"/>
    <mergeCell ref="A23:H23"/>
    <mergeCell ref="A4:H4"/>
    <mergeCell ref="A91:H91"/>
    <mergeCell ref="A43:H43"/>
    <mergeCell ref="A52:H52"/>
    <mergeCell ref="A93:H9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20"/>
  <sheetViews>
    <sheetView workbookViewId="0">
      <selection activeCell="A1" sqref="A1"/>
    </sheetView>
  </sheetViews>
  <sheetFormatPr baseColWidth="8" defaultRowHeight="15"/>
  <cols>
    <col width="15" customWidth="1" min="1" max="1"/>
    <col hidden="1" width="13" customWidth="1" min="11" max="11"/>
    <col hidden="1" width="13" customWidth="1" min="12" max="12"/>
    <col hidden="1" width="13" customWidth="1" min="13" max="13"/>
    <col hidden="1" width="13" customWidth="1" min="14" max="14"/>
  </cols>
  <sheetData>
    <row r="1">
      <c r="A1" s="1" t="inlineStr">
        <is>
          <t>DASHBOARD EJECUTIVO</t>
        </is>
      </c>
    </row>
    <row r="3">
      <c r="A3" s="20" t="inlineStr">
        <is>
          <t>Gráfico 1: Evolución de Ventas y Utilidades</t>
        </is>
      </c>
    </row>
    <row r="4">
      <c r="A4" t="inlineStr">
        <is>
          <t>[Espacio reservado para gráfico - se generará con macro VBA]</t>
        </is>
      </c>
    </row>
    <row r="5">
      <c r="K5" t="inlineStr">
        <is>
          <t>Año</t>
        </is>
      </c>
      <c r="L5" t="inlineStr">
        <is>
          <t>Ventas</t>
        </is>
      </c>
      <c r="M5" t="inlineStr">
        <is>
          <t>Utilidad Neta</t>
        </is>
      </c>
    </row>
    <row r="6">
      <c r="K6" t="n">
        <v>2022</v>
      </c>
      <c r="L6">
        <f>EERR!B5</f>
        <v/>
      </c>
      <c r="M6">
        <f>EERR!B22</f>
        <v/>
      </c>
    </row>
    <row r="7">
      <c r="K7" t="n">
        <v>2023</v>
      </c>
      <c r="L7">
        <f>EERR!D5</f>
        <v/>
      </c>
      <c r="M7">
        <f>EERR!D22</f>
        <v/>
      </c>
    </row>
    <row r="8">
      <c r="K8" t="n">
        <v>2024</v>
      </c>
      <c r="L8">
        <f>EERR!G5</f>
        <v/>
      </c>
      <c r="M8">
        <f>EERR!G22</f>
        <v/>
      </c>
    </row>
    <row r="9"/>
    <row r="10"/>
    <row r="11">
      <c r="K11" t="inlineStr">
        <is>
          <t>Margen</t>
        </is>
      </c>
      <c r="L11" t="inlineStr">
        <is>
          <t>2022</t>
        </is>
      </c>
      <c r="M11" t="inlineStr">
        <is>
          <t>2023</t>
        </is>
      </c>
      <c r="N11" t="inlineStr">
        <is>
          <t>2024</t>
        </is>
      </c>
    </row>
    <row r="12">
      <c r="K12" t="inlineStr">
        <is>
          <t>Bruto</t>
        </is>
      </c>
      <c r="L12">
        <f>INDICADORES!C16</f>
        <v/>
      </c>
      <c r="M12">
        <f>INDICADORES!D16</f>
        <v/>
      </c>
      <c r="N12">
        <f>INDICADORES!G16</f>
        <v/>
      </c>
    </row>
    <row r="13">
      <c r="K13" t="inlineStr">
        <is>
          <t>EBITDA</t>
        </is>
      </c>
      <c r="L13">
        <f>INDICADORES!C17</f>
        <v/>
      </c>
      <c r="M13">
        <f>INDICADORES!D17</f>
        <v/>
      </c>
      <c r="N13">
        <f>INDICADORES!G17</f>
        <v/>
      </c>
    </row>
    <row r="14">
      <c r="K14" t="inlineStr">
        <is>
          <t>Operativo</t>
        </is>
      </c>
      <c r="L14">
        <f>INDICADORES!C18</f>
        <v/>
      </c>
      <c r="M14">
        <f>INDICADORES!D18</f>
        <v/>
      </c>
      <c r="N14">
        <f>INDICADORES!G18</f>
        <v/>
      </c>
    </row>
    <row r="15">
      <c r="K15" t="inlineStr">
        <is>
          <t>Neto</t>
        </is>
      </c>
      <c r="L15">
        <f>INDICADORES!C19</f>
        <v/>
      </c>
      <c r="M15">
        <f>INDICADORES!D19</f>
        <v/>
      </c>
      <c r="N15">
        <f>INDICADORES!G19</f>
        <v/>
      </c>
    </row>
    <row r="18">
      <c r="A18" s="20" t="inlineStr">
        <is>
          <t>Gráfico 2: Comparación de Márgenes (Bruto, EBITDA, Operativo, Neto)</t>
        </is>
      </c>
      <c r="K18" t="inlineStr">
        <is>
          <t>Componente</t>
        </is>
      </c>
      <c r="L18" t="inlineStr">
        <is>
          <t>Valor</t>
        </is>
      </c>
    </row>
    <row r="19">
      <c r="A19" t="inlineStr">
        <is>
          <t>[Espacio reservado para gráfico - se generará con macro VBA]</t>
        </is>
      </c>
      <c r="K19" t="inlineStr">
        <is>
          <t>Activos Corrientes</t>
        </is>
      </c>
      <c r="L19">
        <f>ESF!G14</f>
        <v/>
      </c>
    </row>
    <row r="20">
      <c r="K20" t="inlineStr">
        <is>
          <t>Activos No Corrientes</t>
        </is>
      </c>
      <c r="L20">
        <f>ESF!G21</f>
        <v/>
      </c>
    </row>
    <row r="21"/>
    <row r="22"/>
    <row r="23">
      <c r="K23" t="inlineStr">
        <is>
          <t>Componente</t>
        </is>
      </c>
      <c r="L23" t="inlineStr">
        <is>
          <t>Valor</t>
        </is>
      </c>
    </row>
    <row r="24">
      <c r="K24" t="inlineStr">
        <is>
          <t>Pasivos</t>
        </is>
      </c>
      <c r="L24">
        <f>ESF!G45</f>
        <v/>
      </c>
    </row>
    <row r="25">
      <c r="K25" t="inlineStr">
        <is>
          <t>Patrimonio</t>
        </is>
      </c>
      <c r="L25">
        <f>ESF!G54</f>
        <v/>
      </c>
    </row>
    <row r="26"/>
    <row r="27"/>
    <row r="28">
      <c r="K28" t="inlineStr">
        <is>
          <t>Concepto</t>
        </is>
      </c>
      <c r="L28" t="inlineStr">
        <is>
          <t>Días</t>
        </is>
      </c>
    </row>
    <row r="29">
      <c r="K29" t="inlineStr">
        <is>
          <t>Días Inventario</t>
        </is>
      </c>
      <c r="L29">
        <f>INDICADORES!G33</f>
        <v/>
      </c>
    </row>
    <row r="30">
      <c r="K30" t="inlineStr">
        <is>
          <t>Días Cartera</t>
        </is>
      </c>
      <c r="L30">
        <f>INDICADORES!G35</f>
        <v/>
      </c>
    </row>
    <row r="31">
      <c r="K31" t="inlineStr">
        <is>
          <t>Días Proveedores</t>
        </is>
      </c>
      <c r="L31">
        <f>INDICADORES!G37</f>
        <v/>
      </c>
    </row>
    <row r="32">
      <c r="K32" t="inlineStr">
        <is>
          <t>Ciclo Efectivo</t>
        </is>
      </c>
      <c r="L32">
        <f>INDICADORES!G39</f>
        <v/>
      </c>
    </row>
    <row r="33">
      <c r="A33" s="20" t="inlineStr">
        <is>
          <t>Gráfico 3: Composición del Activo</t>
        </is>
      </c>
    </row>
    <row r="34">
      <c r="A34" t="inlineStr">
        <is>
          <t>[Espacio reservado para gráfico - se generará con macro VBA]</t>
        </is>
      </c>
    </row>
    <row r="35"/>
    <row r="36"/>
    <row r="37"/>
    <row r="38"/>
    <row r="39"/>
    <row r="40"/>
    <row r="41"/>
    <row r="42"/>
    <row r="43"/>
    <row r="44"/>
    <row r="45"/>
    <row r="48">
      <c r="A48" s="20" t="inlineStr">
        <is>
          <t>Gráfico 4: Composición del Pasivo y Patrimonio</t>
        </is>
      </c>
    </row>
    <row r="49">
      <c r="A49" t="inlineStr">
        <is>
          <t>[Espacio reservado para gráfico - se generará con macro VBA]</t>
        </is>
      </c>
    </row>
    <row r="50"/>
    <row r="51"/>
    <row r="52"/>
    <row r="53"/>
    <row r="54"/>
    <row r="55"/>
    <row r="56"/>
    <row r="57"/>
    <row r="58"/>
    <row r="59"/>
    <row r="60"/>
    <row r="63">
      <c r="A63" s="20" t="inlineStr">
        <is>
          <t>Gráfico 5: Punto de Equilibrio</t>
        </is>
      </c>
    </row>
    <row r="64">
      <c r="A64" t="inlineStr">
        <is>
          <t>[Espacio reservado para gráfico - se generará con macro VBA]</t>
        </is>
      </c>
    </row>
    <row r="65"/>
    <row r="66"/>
    <row r="67"/>
    <row r="68"/>
    <row r="69"/>
    <row r="70"/>
    <row r="71"/>
    <row r="72"/>
    <row r="73"/>
    <row r="74"/>
    <row r="75"/>
    <row r="78">
      <c r="A78" s="20" t="inlineStr">
        <is>
          <t>Gráfico 6: Comparación con Industria (Radar)</t>
        </is>
      </c>
    </row>
    <row r="79">
      <c r="A79" t="inlineStr">
        <is>
          <t>[Espacio reservado para gráfico - se generará con macro VBA]</t>
        </is>
      </c>
    </row>
    <row r="80"/>
    <row r="81"/>
    <row r="82"/>
    <row r="83"/>
    <row r="84"/>
    <row r="85"/>
    <row r="86"/>
    <row r="87"/>
    <row r="88"/>
    <row r="89"/>
    <row r="90"/>
    <row r="93">
      <c r="A93" s="20" t="inlineStr">
        <is>
          <t>Gráfico 7: Ciclo de Conversión de Efectivo</t>
        </is>
      </c>
    </row>
    <row r="94">
      <c r="A94" t="inlineStr">
        <is>
          <t>[Espacio reservado para gráfico - se generará con macro VBA]</t>
        </is>
      </c>
    </row>
    <row r="95"/>
    <row r="96"/>
    <row r="97"/>
    <row r="98"/>
    <row r="99"/>
    <row r="100"/>
    <row r="101"/>
    <row r="102"/>
    <row r="103"/>
    <row r="104"/>
    <row r="105"/>
    <row r="108">
      <c r="A108" s="20" t="inlineStr">
        <is>
          <t>Gráfico 8: Indicadores de Liquidez y Endeudamiento</t>
        </is>
      </c>
    </row>
    <row r="109">
      <c r="A109" t="inlineStr">
        <is>
          <t>[Espacio reservado para gráfico - se generará con macro VBA]</t>
        </is>
      </c>
    </row>
    <row r="110"/>
    <row r="111"/>
    <row r="112"/>
    <row r="113"/>
    <row r="114"/>
    <row r="115"/>
    <row r="116"/>
    <row r="117"/>
    <row r="118"/>
    <row r="119"/>
    <row r="120"/>
  </sheetData>
  <mergeCells count="17">
    <mergeCell ref="A18:H18"/>
    <mergeCell ref="A4:H15"/>
    <mergeCell ref="A3:H3"/>
    <mergeCell ref="A78:H78"/>
    <mergeCell ref="A48:H48"/>
    <mergeCell ref="A109:H120"/>
    <mergeCell ref="A64:H75"/>
    <mergeCell ref="A79:H90"/>
    <mergeCell ref="A1:P1"/>
    <mergeCell ref="A94:H105"/>
    <mergeCell ref="A63:H63"/>
    <mergeCell ref="A19:H30"/>
    <mergeCell ref="A33:H33"/>
    <mergeCell ref="A108:H108"/>
    <mergeCell ref="A93:H93"/>
    <mergeCell ref="A49:H60"/>
    <mergeCell ref="A34:H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2025-12-18T03:42:57Z</dcterms:created>
  <dcterms:modified xsi:type="dcterms:W3CDTF">2025-12-18T05:35:22Z</dcterms:modified>
</cp:coreProperties>
</file>